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edicareportugal-my.sharepoint.com/personal/jorge_tavares_medicare_pt/Documents/Desktop/IMPORTANTE/APRESENTACOES IMPORTANTES/AMA/Testes/"/>
    </mc:Choice>
  </mc:AlternateContent>
  <xr:revisionPtr revIDLastSave="3" documentId="11_568DE0E64D9A540ABA29F61BB3D34A80D0E02BB7" xr6:coauthVersionLast="47" xr6:coauthVersionMax="47" xr10:uidLastSave="{67C2DDAB-2771-4B8F-91E9-2D3BCA73B0BD}"/>
  <bookViews>
    <workbookView xWindow="-120" yWindow="-120" windowWidth="29040" windowHeight="15720" activeTab="1" xr2:uid="{00000000-000D-0000-FFFF-FFFF00000000}"/>
  </bookViews>
  <sheets>
    <sheet name="Questions" sheetId="1" r:id="rId1"/>
    <sheet name="Stress tests" sheetId="2" r:id="rId2"/>
  </sheets>
  <calcPr calcId="0" iterateDelta="1E-4"/>
</workbook>
</file>

<file path=xl/sharedStrings.xml><?xml version="1.0" encoding="utf-8"?>
<sst xmlns="http://schemas.openxmlformats.org/spreadsheetml/2006/main" count="763" uniqueCount="411">
  <si>
    <t>MEDICARE / AMA AI — Quantitative test evidence</t>
  </si>
  <si>
    <t>66 cases. Latest available result: 62 conformant, 2 non-conformant, 2 recording reviews. Four cases have no recorded second response.</t>
  </si>
  <si>
    <t>Source: Medicare_AMA_Perguntas_Contact_Center_PT_EN_V4.xlsx. Review date: 20 October 2026. Portuguese replies translated to English; numeric entries preserved.</t>
  </si>
  <si>
    <t>Red: non-conformant. Amber: recording or precision review. Latest outcome uses response 2 where recorded, otherwise response 1.</t>
  </si>
  <si>
    <t>Test ID</t>
  </si>
  <si>
    <t>Latest outcome</t>
  </si>
  <si>
    <t>Question asked (English)</t>
  </si>
  <si>
    <t>Validation criterion</t>
  </si>
  <si>
    <t>Expected result</t>
  </si>
  <si>
    <t>Unit</t>
  </si>
  <si>
    <t>Recorded AMA response 1</t>
  </si>
  <si>
    <t>Result 1</t>
  </si>
  <si>
    <t>Recorded AMA response 2</t>
  </si>
  <si>
    <t>Result 2</t>
  </si>
  <si>
    <t>Reviewer rationale</t>
  </si>
  <si>
    <t>Q01</t>
  </si>
  <si>
    <t>Conformant</t>
  </si>
  <si>
    <t>For queue "[SAC] INB MEDICARE", in August 2026, report the gross total of received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</si>
  <si>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volume = session count, including all short abandons.</t>
  </si>
  <si>
    <t>calls</t>
  </si>
  <si>
    <t>Exact match to the recorded reference.</t>
  </si>
  <si>
    <t>Q02</t>
  </si>
  <si>
    <t>For queues "[SAC] INB MEDICARE" and "[SAC] - ENG", in August 2026, report the gross total of received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</si>
  <si>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volume = session count, including all short abandons.</t>
  </si>
  <si>
    <t>Q03</t>
  </si>
  <si>
    <t>For queue "[SAC] INB MEDICARE", in August 2026, report the total of received calls after excluding only never-answered calls with less than 30 seconds of accumulated waiting time,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</si>
  <si>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Adjusted received calls = gross sessions minus unanswered sessions with waiting time &lt;30 s. Retain every answered session.</t>
  </si>
  <si>
    <t>Q04</t>
  </si>
  <si>
    <t>For queues "[SAC] INB MEDICARE" and "[SAC] - ENG", in August 2026, report the total of received calls after excluding only never-answered calls with less than 30 seconds of accumulated waiting time,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</si>
  <si>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Adjusted received calls = gross sessions minus unanswered sessions with waiting time &lt;30 s. Retain every answered session.</t>
  </si>
  <si>
    <t>Q05</t>
  </si>
  <si>
    <t>For queue "[SAC] INB MEDICARE", in August 2026, report the total of answered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</si>
  <si>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once per SessionID.</t>
  </si>
  <si>
    <t>Q06</t>
  </si>
  <si>
    <t>For queues "[SAC] INB MEDICARE" and "[SAC] - ENG", in August 2026, report the total of answered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</si>
  <si>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once per SessionID.</t>
  </si>
  <si>
    <t>Q07</t>
  </si>
  <si>
    <t>For queue "[SAC] INB MEDICARE", in August 2026, report the total of unanswered calls, including those that waited less than 30 seconds,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</si>
  <si>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eligible sessions with no Connected interaction, including all short abandons.</t>
  </si>
  <si>
    <t>Q08</t>
  </si>
  <si>
    <t>For queues "[SAC] INB MEDICARE" and "[SAC] - ENG", in August 2026, report the total of unanswered calls, including those that waited less than 30 seconds,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</si>
  <si>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eligible sessions with no Connected interaction, including all short abandons.</t>
  </si>
  <si>
    <t>Q09</t>
  </si>
  <si>
    <t>For queue "[SAC] INB MEDICARE", in August 2026, report the total of never-answered calls with less than 30 seconds of accumulated waiting time,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</si>
  <si>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&lt;30 s. Exactly 30 s is not below the threshold.</t>
  </si>
  <si>
    <t>Q10</t>
  </si>
  <si>
    <t>For queues "[SAC] INB MEDICARE" and "[SAC] - ENG", in August 2026, report the total of never-answered calls with less than 30 seconds of accumulated waiting time,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</si>
  <si>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&lt;30 s. Exactly 30 s is not below the threshold.</t>
  </si>
  <si>
    <t>Q11</t>
  </si>
  <si>
    <t>For queue "[SAC] INB MEDICARE", in August 2026, report the total of never-answered calls with at least 30 seconds of accumulated waiting time,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</si>
  <si>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&gt;=30 s.</t>
  </si>
  <si>
    <t>Q12</t>
  </si>
  <si>
    <t>For queues "[SAC] INB MEDICARE" and "[SAC] - ENG", in August 2026, report the total of never-answered calls with at least 30 seconds of accumulated waiting time,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</si>
  <si>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&gt;=30 s.</t>
  </si>
  <si>
    <t>Q13</t>
  </si>
  <si>
    <t>For queue "[SAC] INB MEDICARE", in August 2026, report the percentage of answered calls relative to received calls, removing only never-answered calls with less than 30 seconds of total waiting time from received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</si>
  <si>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Efficiency = answered calls / adjusted received calls. Report a percentage to two decimal places.</t>
  </si>
  <si>
    <t>%</t>
  </si>
  <si>
    <t>Matches the reference within the stated display tolerance: 0.01 percentage point.</t>
  </si>
  <si>
    <t>Q14</t>
  </si>
  <si>
    <t>For queues "[SAC] INB MEDICARE" and "[SAC] - ENG", in August 2026, report the percentage of answered calls relative to received calls, removing only never-answered calls with less than 30 seconds of total waiting time from received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</si>
  <si>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Efficiency = answered calls / adjusted received calls. Report a percentage to two decimal places.</t>
  </si>
  <si>
    <t>Q15</t>
  </si>
  <si>
    <t>For queue "[SAC] INB MEDICARE", in August 2026, report the percentage of all received calls that went unanswered, without excluding calls with waiting times below 30 seconds,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</si>
  <si>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Gross abandonment rate = unanswered sessions / gross sessions. Two decimal places.</t>
  </si>
  <si>
    <t>Q16</t>
  </si>
  <si>
    <t>For queues "[SAC] INB MEDICARE" and "[SAC] - ENG", in August 2026, report the percentage of all received calls that went unanswered, without excluding calls with waiting times below 30 seconds,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</si>
  <si>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Gross abandonment rate = unanswered sessions / gross sessions. Two decimal places.</t>
  </si>
  <si>
    <t>Q17</t>
  </si>
  <si>
    <t>For queue "[SAC] INB MEDICARE", in August 2026, report the percentage of calls that went unanswered after removing never-answered calls with less than 30 seconds of total waiting time from the received group,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</si>
  <si>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Abandonment rate excluding short abandons = unanswered sessions with waiting time &gt;=30 s / adjusted received calls. Two decimal places.</t>
  </si>
  <si>
    <t>Q18</t>
  </si>
  <si>
    <t>For queues "[SAC] INB MEDICARE" and "[SAC] - ENG", in August 2026, report the percentage of calls that went unanswered after removing never-answered calls with less than 30 seconds of total waiting time from the received group,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</si>
  <si>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Abandonment rate excluding short abandons = unanswered sessions with waiting time &gt;=30 s / adjusted received calls. Two decimal places.</t>
  </si>
  <si>
    <t>Q19</t>
  </si>
  <si>
    <t>For queue "[SAC] INB MEDICARE", in August 2026, report the percentage of answered calls that waited no more than 30 seconds until the first answer,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</si>
  <si>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t>
  </si>
  <si>
    <t>Q20</t>
  </si>
  <si>
    <t>For queues "[SAC] INB MEDICARE" and "[SAC] - ENG", in August 2026, report the percentage of answered calls that waited no more than 30 seconds until the first answer,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</si>
  <si>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t>
  </si>
  <si>
    <t>Q21</t>
  </si>
  <si>
    <t>Review recording</t>
  </si>
  <si>
    <t>For queue "[SAC] INB MEDICARE", in August 2026, report the average waiting time until the first answer (ASA), in seconds, for answered calls only,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</si>
  <si>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ASA = total waiting time of answered sessions / answered sessions. Seconds, two decimal places.</t>
  </si>
  <si>
    <t>s</t>
  </si>
  <si>
    <t>The source answer cell is formatted as a percentage and stores 0.166 (displayed as 16.60%), while the criterion requires seconds (reference 16.59 s). Confirm the original AMA answer before attributing a calculation error.</t>
  </si>
  <si>
    <t>Q22</t>
  </si>
  <si>
    <t>For queues "[SAC] INB MEDICARE" and "[SAC] - ENG", in August 2026, report the average waiting time until the first answer (ASA), in seconds, for answered calls only,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</si>
  <si>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ASA = total waiting time of answered sessions / answered sessions. Seconds, two decimal places.</t>
  </si>
  <si>
    <t>Matches the reference within the stated display tolerance: 0.01 s.</t>
  </si>
  <si>
    <t>Q23</t>
  </si>
  <si>
    <t>For queue "[SAC] INB MEDICARE", in August 2026, report the average talk time per answered call, in seconds, using calls with complete talk-time records,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</si>
  <si>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talk time = summed Talk_Duration_Seconds from Connected interactions / answered sessions with complete talk data. Exclude a session if talk time is missing from any Connected interaction.</t>
  </si>
  <si>
    <t>Q24</t>
  </si>
  <si>
    <t>For queues "[SAC] INB MEDICARE" and "[SAC] - ENG", in August 2026, report the average talk time per answered call, in seconds, using calls with complete talk-time records,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</si>
  <si>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talk time = summed Talk_Duration_Seconds from Connected interactions / answered sessions with complete talk data. Exclude a session if talk time is missing from any Connected interaction.</t>
  </si>
  <si>
    <t>Q25</t>
  </si>
  <si>
    <t>For queue "[SAC] INB MEDICARE", in August 2026, report the average hold time per answered call, in seconds, using calls with complete hold-time records,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</si>
  <si>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hold time = summed Hold_Duration_Seconds from Connected interactions / answered sessions with complete hold data. Null means missing; zero is valid. Exclude the session if this component is missing from any Connected interaction.</t>
  </si>
  <si>
    <t>Q26</t>
  </si>
  <si>
    <t>For queues "[SAC] INB MEDICARE" and "[SAC] - ENG", in August 2026, report the average hold time per answered call, in seconds, using calls with complete hold-time records,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</si>
  <si>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hold time = summed Hold_Duration_Seconds from Connected interactions / answered sessions with complete hold data. Null means missing; zero is valid. Exclude the session if this component is missing from any Connected interaction.</t>
  </si>
  <si>
    <t>Q27</t>
  </si>
  <si>
    <t>For queue "[SAC] INB MEDICARE", in August 2026, report the average after-call work time (ACW) per answered call, in seconds, using calls with complete ACW records,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</si>
  <si>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ACW = summed ACW_Duration_Seconds from Connected interactions / answered sessions with complete ACW data. Null means missing; zero is valid. Exclude the session if this component is missing from any Connected interaction.</t>
  </si>
  <si>
    <t>Q28</t>
  </si>
  <si>
    <t>For queues "[SAC] INB MEDICARE" and "[SAC] - ENG", in August 2026, report the average after-call work time (ACW) per answered call, in seconds, using calls with complete ACW records,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</si>
  <si>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ACW = summed ACW_Duration_Seconds from Connected interactions / answered sessions with complete ACW data. Null means missing; zero is valid. Exclude the session if this component is missing from any Connected interaction.</t>
  </si>
  <si>
    <t>Q29</t>
  </si>
  <si>
    <t>For queue "[SAC] INB MEDICARE", in August 2026, report the average handling time (AHT) per answered call, in seconds, adding talk, hold and after-call work for calls with all three components fully recorded,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</si>
  <si>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AHT = total talk + hold + ACW from Connected interactions / answered sessions with all three components present in every Connected interaction. Do not add averages based on different samples.</t>
  </si>
  <si>
    <t>Q30</t>
  </si>
  <si>
    <t>For queues "[SAC] INB MEDICARE" and "[SAC] - ENG", in August 2026, report the average handling time (AHT) per answered call, in seconds, adding talk, hold and after-call work for calls with all three components fully recorded,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</si>
  <si>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AHT = total talk + hold + ACW from Connected interactions / answered sessions with all three components present in every Connected interaction. Do not add averages based on different samples.</t>
  </si>
  <si>
    <t>Q31</t>
  </si>
  <si>
    <t>For queue "[SAC] INB MEDICARE", in August 2026, report the total handling hours of answered calls, adding talk, hold and after-call work for calls with all three components fully recorded,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</si>
  <si>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Handling hours = total talk + hold + ACW in the complete-data sample /3600. Exclude the entire session if any Connected interaction lacks a component.</t>
  </si>
  <si>
    <t>h</t>
  </si>
  <si>
    <t>Matches the reference within the stated display tolerance: 0.01 h.</t>
  </si>
  <si>
    <t>Q32</t>
  </si>
  <si>
    <t>For queues "[SAC] INB MEDICARE" and "[SAC] - ENG", in August 2026, report the total handling hours of answered calls, adding talk, hold and after-call work for calls with all three components fully recorded,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</si>
  <si>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Handling hours = total talk + hold + ACW in the complete-data sample /3600. Exclude the entire session if any Connected interaction lacks a component.</t>
  </si>
  <si>
    <t>Q33</t>
  </si>
  <si>
    <t>For queue "[SAC] INB MEDICARE", in August 2026, report the number of answered calls missing hold time for any part of the call,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</si>
  <si>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where Hold_Duration_Seconds is missing in at least one Connected interaction. Zero remains valid.</t>
  </si>
  <si>
    <t>Q34</t>
  </si>
  <si>
    <t>For queues "[SAC] INB MEDICARE" and "[SAC] - ENG", in August 2026, report the number of answered calls missing hold time for any part of the call,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</si>
  <si>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where Hold_Duration_Seconds is missing in at least one Connected interaction. Zero remains valid.</t>
  </si>
  <si>
    <t>Q35</t>
  </si>
  <si>
    <t>For queue "[SAC] INB MEDICARE", in August 2026, report the number of calls with more than one interaction in the same service,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</si>
  <si>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Count sessions containing more than one eligible interaction within scope, once per session.</t>
  </si>
  <si>
    <t>Q36</t>
  </si>
  <si>
    <t>For queues "[SAC] INB MEDICARE" and "[SAC] - ENG", in August 2026, report the number of calls with more than one interaction in the same service,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</si>
  <si>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Count sessions containing more than one eligible interaction within scope, once per session.</t>
  </si>
  <si>
    <t>Q37</t>
  </si>
  <si>
    <t>For queue "[SAC] INB MEDICARE", in August 2026, report the number of different agents who answered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</si>
  <si>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distinct Handling_Agent_ID values from Connected interactions in eligible sessions. This is not an FTE count.</t>
  </si>
  <si>
    <t>agents</t>
  </si>
  <si>
    <t>Q38</t>
  </si>
  <si>
    <t>For queues "[SAC] INB MEDICARE" and "[SAC] - ENG", in August 2026, report the number of different agents who answered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</si>
  <si>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distinct Handling_Agent_ID values from Connected interactions in eligible sessions. This is not an FTE count.</t>
  </si>
  <si>
    <t>Q39</t>
  </si>
  <si>
    <t>For queue "[SAC] INB MEDICARE", report the percentage change in gross received calls from July to August 2026,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</si>
  <si>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July 2026 using identical rules for both periods. Change = current/reference −1; two decimal places.</t>
  </si>
  <si>
    <t>Q40</t>
  </si>
  <si>
    <t>For queues "[SAC] INB MEDICARE" and "[SAC] - ENG", report the percentage change in gross received calls from July to August 2026,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</si>
  <si>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July 2026 using identical rules for both periods. Change = current/reference −1; two decimal places.</t>
  </si>
  <si>
    <t>Q41</t>
  </si>
  <si>
    <t>Non-conformant</t>
  </si>
  <si>
    <t>For queue "[SAC] INB MEDICARE", report the percentage change in gross received calls from August 2025 to August 2026,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</si>
  <si>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August 2025 using identical rules for both periods. Change = current/reference −1; two decimal places.</t>
  </si>
  <si>
    <t>The recorded result has the opposite sign: +8.83% versus an expected -8.83% year-on-year change. This remains open in both response columns.</t>
  </si>
  <si>
    <t>Q42</t>
  </si>
  <si>
    <t>For queues "[SAC] INB MEDICARE" and "[SAC] - ENG", report the percentage change in gross received calls from August 2025 to August 2026,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</si>
  <si>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August 2025 using identical rules for both periods. Change = current/reference −1; two decimal places.</t>
  </si>
  <si>
    <t>The recorded answer is -9% in a whole-percentage cell. This is consistent with -8.71% rounded to a whole percentage, but the unrounded answer and the criterion’s two-decimal precision cannot be verified. Request the original output; this is not a confirmed arithmetic failure.</t>
  </si>
  <si>
    <t>Q43</t>
  </si>
  <si>
    <t>For queue "[SAC] INB MEDICARE", in August 2026, report the date with the most received calls, choosing the earliest date in a tie,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</si>
  <si>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Local date with the most gross received calls; choose the earliest date in a tie.</t>
  </si>
  <si>
    <t>date</t>
  </si>
  <si>
    <t>Q44</t>
  </si>
  <si>
    <t>For queues "[SAC] INB MEDICARE" and "[SAC] - ENG", in August 2026, report the date with the most received calls, choosing the earliest date in a tie,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</si>
  <si>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Local date with the most gross received calls; choose the earliest date in a tie.</t>
  </si>
  <si>
    <t>Q45</t>
  </si>
  <si>
    <t>For queue "[SAC] INB MEDICARE", in August 2026, report the one-hour time slot with the most received calls summed across the month, choosing the earliest slot in a tie,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</si>
  <si>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Sum gross received calls by local hourly interval [hour, hour+1) across eligible days; choose the earliest interval in a tie.</t>
  </si>
  <si>
    <t>11:00–12:00</t>
  </si>
  <si>
    <t>time interval</t>
  </si>
  <si>
    <t>11:00 - 11:59</t>
  </si>
  <si>
    <t>The label 11:00–11:59 denotes the same whole-hour bucket as 11:00 ≤ time &lt;12:00. This presentation difference is accepted.</t>
  </si>
  <si>
    <t>Q46</t>
  </si>
  <si>
    <t>For queues "[SAC] INB MEDICARE" and "[SAC] - ENG", in August 2026, report the one-hour time slot with the most received calls summed across the month, choosing the earliest slot in a tie,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</si>
  <si>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Sum gross received calls by local hourly interval [hour, hour+1) across eligible days; choose the earliest interval in a tie.</t>
  </si>
  <si>
    <t>Q47</t>
  </si>
  <si>
    <t>For queue "[SAC] INB MEDICARE", in August 2026, report the gross total of received calls, including only entries from Monday to Friday, at or after 08:00 and before 09:00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</si>
  <si>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09:00, Europe/Lisbon. Gross total of received SessionIDs, without excluding short waits or filtering for answered calls.</t>
  </si>
  <si>
    <t>Q48</t>
  </si>
  <si>
    <t>For queues "[SAC] INB MEDICARE" and "[SAC] - ENG", in August 2026, report the gross total of received calls, including only entries from Monday to Friday, at or after 08:00 and before 09:00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</si>
  <si>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09:00, Europe/Lisbon. Gross total of received SessionIDs, without excluding short waits or filtering for answered calls.</t>
  </si>
  <si>
    <t>Q49</t>
  </si>
  <si>
    <t>For queue "[SAC] INB MEDICARE", in August 2026, report the gross total of received calls, including only entries from Monday to Friday, at or after 19:00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</si>
  <si>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19:00 ≤ local hour &lt; 20:00, Europe/Lisbon. Gross total of received SessionIDs, without excluding short waits or filtering for answered calls.</t>
  </si>
  <si>
    <t>Q50</t>
  </si>
  <si>
    <t>For queues "[SAC] INB MEDICARE" and "[SAC] - ENG", in August 2026, report the gross total of received calls, including only entries from Monday to Friday, at or after 19:00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</si>
  <si>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19:00 ≤ local hour &lt; 20:00, Europe/Lisbon. Gross total of received SessionIDs, without excluding short waits or filtering for answered calls.</t>
  </si>
  <si>
    <t>Q51</t>
  </si>
  <si>
    <t>For queue "[SAC] INB MEDICARE", on 10 June 2026, report the gross total of received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</si>
  <si>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[2026-06-10, 2026-06-11), Monday–Friday, excluding Portuguese national holidays; 08:00 ≤ local hour &lt; 20:00, Europe/Lisbon. Apply the national-holiday calendar to the requested day; a date excluded by the calendar has zero eligible sessions even if source records exist.</t>
  </si>
  <si>
    <t>Q52</t>
  </si>
  <si>
    <t>For queues "[SAC] INB MEDICARE" and "[SAC] - ENG", on 10 June 2026, report the gross total of received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</si>
  <si>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[2026-06-10, 2026-06-11), Monday–Friday, excluding Portuguese national holidays; 08:00 ≤ local hour &lt; 20:00, Europe/Lisbon. Apply the national-holiday calendar to the requested day; a date excluded by the calendar has zero eligible sessions even if source records exist.</t>
  </si>
  <si>
    <t>Q53</t>
  </si>
  <si>
    <t>For queue "[SAC] INB MEDICARE", in August 2024, report the gross total of received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</si>
  <si>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[2024-08-01, 2024-09-01), Monday–Friday, excluding Portuguese national holidays; 08:00 ≤ local hour &lt; 20:00, Europe/Lisbon. Gross total of received SessionIDs, without excluding short waits or filtering for answered calls.</t>
  </si>
  <si>
    <t>Resolved in the recorded repeat. Run 1 records 38,543 versus 38,540 expected, a difference of +3 sessions. Run 2 matches the reference.</t>
  </si>
  <si>
    <t>Q54</t>
  </si>
  <si>
    <t>For queues "[SAC] INB MEDICARE" and "[SAC] - ENG", in August 2024, report the gross total of received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</si>
  <si>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[2024-08-01, 2024-09-01), Monday–Friday, excluding Portuguese national holidays; 08:00 ≤ local hour &lt; 20:00, Europe/Lisbon. Gross total of received SessionIDs, without excluding short waits or filtering for answered calls.</t>
  </si>
  <si>
    <t>The recorded count is 38,861 versus 38,858 expected, a difference of +3 sessions. Both response columns retain the discrepancy.</t>
  </si>
  <si>
    <t>Q55</t>
  </si>
  <si>
    <t>For queue "[SAC] INB MEDICARE", in September 2026, report the gross total of received calls,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</si>
  <si>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[2026-09-01, 2026-10-01), Monday–Friday, excluding Portuguese national holidays; 08:00 ≤ local hour &lt; 20:00, Europe/Lisbon. Check period coverage; if insufficient, report unavailable without assuming zero or extrapolating.</t>
  </si>
  <si>
    <t>Not available: September 2026 is not covered; data ends on 2026-08-31.</t>
  </si>
  <si>
    <t>text</t>
  </si>
  <si>
    <t>I cannot provide that total for September 2026 with the current data: the result is empty (0 rows). This indicates that there are no records available for that month in the database I can access, or at least no sessions that pass the filters and fall in September 2026.</t>
  </si>
  <si>
    <t>Not recorded</t>
  </si>
  <si>
    <t>Valid availability safeguard: AMA declines to report a volume from an empty result instead of asserting that real demand was zero. An explicit coverage end date would strengthen the explanation.</t>
  </si>
  <si>
    <t>Q56</t>
  </si>
  <si>
    <t>For queues "[SAC] INB MEDICARE" and "[SAC] - ENG", in September 2026, report the gross total of received calls,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</si>
  <si>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[2026-09-01, 2026-10-01), Monday–Friday, excluding Portuguese national holidays; 08:00 ≤ local hour &lt; 20:00, Europe/Lisbon. Check period coverage; if insufficient, report unavailable without assuming zero or extrapolating.</t>
  </si>
  <si>
    <t>I cannot provide that total for September 2026 with the available observed data: the query returns no rows for that month, indicating that there are no eligible records in call_logs for September 2026 under those filters in the current database.</t>
  </si>
  <si>
    <t>Q57</t>
  </si>
  <si>
    <t>For queue "[SAC] - IVR MEDICARE ValidaçãoDeCartões", in August 2026, report the gross total of received calls, including only entries from Monday to Friday, at or after 08:00 and before 20:00 Lisbon time, excluding Portuguese national holidays.</t>
  </si>
  <si>
    <t>Exact queues: [SAC] - IVR MEDICARE ValidaçãoDeCartões.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total of received SessionIDs, without excluding short waits or filtering for answered calls.</t>
  </si>
  <si>
    <t>Q58</t>
  </si>
  <si>
    <t>For queues "[SAC] INB MEDICARE", "[SAC] - ENG", "[SAC] - IVR MEDICARE ValidaçãoDeCartões", "[SAC] - IVR MEDICARE Marcação Consultas" and "[SAC] - IVR MEDICARE Adesões", in August 2026, report the gross total of received calls, including only entries from Monday to Friday, at or after 08:00 and before 20:00 Lisbon time, excluding Portuguese national holidays.</t>
  </si>
  <si>
    <t>Exact queues: [SAC] INB MEDICARE / [SAC] - ENG / [SAC] - IVR MEDICARE ValidaçãoDeCartões / [SAC] - IVR MEDICARE Marcação Consultas / [SAC] - IVR MEDICARE Adesões.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total of received SessionIDs, without excluding short waits or filtering for answered calls.</t>
  </si>
  <si>
    <t>Q59</t>
  </si>
  <si>
    <t>For queue "[SAC] - IVR MEDICARE Marcação Consultas", during 2025, report the gross total of received calls, including only entries from Monday to Friday, at or after 08:00 and before 20:00 Lisbon time, excluding Portuguese national holidays.</t>
  </si>
  <si>
    <t>Exact queues: [SAC] - IVR MEDICARE Marcação Consultas.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[2025-01-01, 2026-01-01), Monday–Friday, excluding Portuguese national holidays; 08:00 ≤ local hour &lt; 20:00, Europe/Lisbon. Gross total of received SessionIDs, without excluding short waits or filtering for answered calls.</t>
  </si>
  <si>
    <t>Q60</t>
  </si>
  <si>
    <t>For queues "[SAC] INB MEDICARE", "[SAC] - ENG", "[SAC] - IVR MEDICARE ValidaçãoDeCartões", "[SAC] - IVR MEDICARE Marcação Consultas" and "[SAC] - IVR MEDICARE Adesões", in August 2026, report the combined percentage of answered calls that waited no more than 30 seconds until the first answer, including only entries from Monday to Friday, at or after 08:00 and before 20:00 Lisbon time, excluding Portuguese national holidays.</t>
  </si>
  <si>
    <t>Exact queues: [SAC] INB MEDICARE / [SAC] - ENG / [SAC] - IVR MEDICARE ValidaçãoDeCartões / [SAC] - IVR MEDICARE Marcação Consultas / [SAC] - IVR MEDICARE Adesões.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 Calculate from combined totals, not an average of campaign SLA values.</t>
  </si>
  <si>
    <t>Resolved in the recorded repeat. Run 1 records 84.82% versus 84.70% expected at two decimals, a difference of +0.12 percentage point. Run 2 matches the reference.</t>
  </si>
  <si>
    <t>Q61</t>
  </si>
  <si>
    <t>For campaign "[SAC] - Callbacks", from 1 January 2024 to 31 August 2026, report the total of outbound callback calls, counting each call once even if it had several attempts, including only entries from Monday to Friday, at or after 08:00 and before 20:00 Lisbon time, excluding Portuguese national holidays.</t>
  </si>
  <si>
    <t>Outbound callbacks: Campaign_Name = [SAC] - Callbacks, without an Outcome filter for total calls made. Group by SessionID; entry = MIN(Contact_Received_Timestamp) of that campaign’s interactions.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[2024-01-01, 2026-09-01), Monday–Friday, excluding Portuguese national holidays; 08:00 ≤ local hour &lt; 20:00, Europe/Lisbon. Count callback sessions made, including unanswered calls; do not require Queue_Name.</t>
  </si>
  <si>
    <t>Tester note: no answer; AMA asks diagnostic questions instead.</t>
  </si>
  <si>
    <t>Resolved in the recorded repeat. The workbook records a tester observation that AMA did not answer. The requested scope was specified; the repeat response resolves this case.</t>
  </si>
  <si>
    <t>Q62</t>
  </si>
  <si>
    <t>For campaign "[SAC] - Callbacks", from 1 January 2024 to 31 August 2026, report the total of answered outbound callback calls, counting each call once even if it had several attempts, including only entries from Monday to Friday, at or after 08:00 and before 20:00 Lisbon time, excluding Portuguese national holidays.</t>
  </si>
  <si>
    <t>Outbound callbacks: Campaign_Name = [SAC] - Callbacks, without an Outcome filter for total calls made. Group by SessionID; entry = MIN(Contact_Received_Timestamp) of that campaign’s interactions.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[2024-01-01, 2026-09-01), Monday–Friday, excluding Portuguese national holidays; 08:00 ≤ local hour &lt; 20:00, Europe/Lisbon. Count one answered session if any interaction in the callback campaign is Connected; do not require Queue_Name.</t>
  </si>
  <si>
    <t>Q63</t>
  </si>
  <si>
    <t>Report the number of records across the whole file with no campaign but a populated queue, regardless of call outcome.</t>
  </si>
  <si>
    <t>Audit all sheets and all dates and times. Count source rows with missing Campaign_Name and populated Queue_Name, without any Outcome filter. Database NULLs, empty fields and literal "NULL" are missing. This counts records, not received SessionIDs; do not add it to call volume.</t>
  </si>
  <si>
    <t>records</t>
  </si>
  <si>
    <t>Tester note: no answer.</t>
  </si>
  <si>
    <t>Q64</t>
  </si>
  <si>
    <t>Report the number of records across the whole file with neither a populated campaign nor a queue, without guessing a service.</t>
  </si>
  <si>
    <t>Count rows where both Campaign_Name and Queue_Name are missing/NULL across all sheets. Do not infer a campaign from other session interactions, agents or nearby timestamps. Distinguish missing identification from exclusion due to NULL Outcome.</t>
  </si>
  <si>
    <t>records (alert)</t>
  </si>
  <si>
    <t>Q65</t>
  </si>
  <si>
    <t>For queue "[SAC] INB MEDICARE", in August 2026, report agent occupancy, including only entries from Monday to Friday, at or after 08:00 and before 20:00 Lisbon time, excluding Portuguese national holidays.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</si>
  <si>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Occupancy requires handling time and total available time, or Ready time to complete that denominator. Without these data, report not calculable; do not infer it from AHT, shifts, agent counts or FTE.</t>
  </si>
  <si>
    <t>Cannot be calculated: agent available/Ready time is missing.</t>
  </si>
  <si>
    <t>I cannot calculate agent occupancy for queue [SAC] INB MEDICARE under those month, operating-hours and holiday filters, because the available occupancy KPI comes from agent_state_logs and is not mapped by queue/campaign or by call entries.</t>
  </si>
  <si>
    <t>Valid alternative limitation: AMA declines a queue-level occupancy result because agent-state time cannot be attributed reliably to the requested queues. The limitation differs from the expected wording but supports the correct non-calculable outcome.</t>
  </si>
  <si>
    <t>Q66</t>
  </si>
  <si>
    <t>For queues "[SAC] INB MEDICARE" and "[SAC] - ENG", in August 2026, report agent occupancy, including only entries from Monday to Friday, at or after 08:00 and before 20:00 Lisbon time, excluding Portuguese national holidays.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</si>
  <si>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Occupancy requires handling time and total available time, or Ready time to complete that denominator. Without these data, report not calculable; do not infer it from AHT, shifts, agent counts or FTE.</t>
  </si>
  <si>
    <t>I cannot calculate agent occupancy specifically for [SAC] INB MEDICARE + [SAC] - ENG under those filters, because the available occupancy measure from agent_state_logs is based on agent states and is not reliably mapped by queue/campaign or by the rule selecting sessions whose entry occurred in those queues on weekdays, 08:00–20:00, excluding holidays.</t>
  </si>
  <si>
    <t>MEDICARE / AMA AI — Conversational stress tests</t>
  </si>
  <si>
    <t>24 cases: 10 conformant, 4 partially conformant and 10 non-conformant. Assessment accepts valid alternatives and uses the declared test context.</t>
  </si>
  <si>
    <t>Red: non-conformant. Amber: partially conformant. Fresh-session setup and full conversation logs were not supplied.</t>
  </si>
  <si>
    <t>Assessment</t>
  </si>
  <si>
    <t>Established context</t>
  </si>
  <si>
    <t>Expected behaviour</t>
  </si>
  <si>
    <t>Recorded AMA response (English)</t>
  </si>
  <si>
    <t>S01</t>
  </si>
  <si>
    <t>Partially conformant</t>
  </si>
  <si>
    <t>Report answered calls for August 2026.</t>
  </si>
  <si>
    <t>If an essential parameter is missing, ask only for that clarification and do not return a definitive total first. Do not assume all campaigns or the latest period. The period and metric are defined; only campaign scope is missing.</t>
  </si>
  <si>
    <t>Established rules: one call per SessionID; inbound received calls from Queue_Name entries without an Outcome filter; answered calls require Connected in the service; Monday–Friday, 08:00–20:00 Europe/Lisbon, excluding Portuguese national holidays.</t>
  </si>
  <si>
    <t>Ask whether all campaigns, one campaign or a specified set is intended; INB MEDICARE and ENG may be offered as options. Do not return a total.</t>
  </si>
  <si>
    <t>In August 2026, 35,913 calls were answered in INB and 36,148 in INB+ENG, including INB and the ENG queue.
Result: INB = 35,913 answered calls; INB+ENG = 36,148.
The +235 difference in INB+ENG represents answered calls attributable to [SAC] - ENG in addition to INB.
Contractual definition: one call per session_id, based on first entry, Monday–Friday, 08:00–20:00, excluding national holidays. Answered means that a Connected interaction exists in the session.
This is a call/session measure under contractual rules, rather than a gross source-row count.</t>
  </si>
  <si>
    <t>Both supplied totals are correctly labelled and numerically consistent with their stated scopes. However, neither establishes which campaign set the user intended. This is useful partial information, not full scope clarification.</t>
  </si>
  <si>
    <t>S02</t>
  </si>
  <si>
    <t>Report answered calls for campaign [SAC] INB MEDICARE.</t>
  </si>
  <si>
    <t>If an essential parameter is missing, ask only for that clarification and do not return a definitive total first. Do not assume all campaigns or the latest period. Campaign and metric are defined; the date range is missing.</t>
  </si>
  <si>
    <t>Ask for the start and end dates. Do not ask for the campaign again.</t>
  </si>
  <si>
    <t>Answered calls for campaign [SAC] INB MEDICARE under the contractual scope, August 2026:
Month: 2026-08. Campaign/queue: [SAC] INB MEDICARE. Answered calls: 35,913.
If required, I can also show this indicator by day within August 2026 to identify peaks and troughs.</t>
  </si>
  <si>
    <t>The response silently selects August 2026 even though no period was supplied. The campaign is known; the required next step is to clarify the date range.</t>
  </si>
  <si>
    <t>S03</t>
  </si>
  <si>
    <t>I want answered calls for the period.</t>
  </si>
  <si>
    <t>If an essential parameter is missing, ask only for that clarification and do not return a definitive total first. Do not assume all campaigns or the latest period. Neither a date range nor a campaign scope has been established.</t>
  </si>
  <si>
    <t>No previous conversational context.</t>
  </si>
  <si>
    <t>Ask for the period and whether all campaigns, one campaign or a set is intended. Do not invent a meaning for “the period”.</t>
  </si>
  <si>
    <t>I cannot provide “answered calls for the period” without an exact time window.
Clarification required: which period do you mean, for example August 2026, January–August 2026, the last 30 days, or a start and end date?
What I already have, if the period is August 2026: 35,913 answered calls for [SAC] INB MEDICARE under the contractual scope.
Suggested next steps: provide dates in YYYY-MM-DD format or the months, and I will return the total and, if required, a daily breakdown.</t>
  </si>
  <si>
    <t>AMA asks for the missing period and avoids a definitive answer. Campaign scope remains unresolved, and the conditional INB example introduces an unconfirmed scope. A staged clarification is acceptable if scope is resolved before the final total.</t>
  </si>
  <si>
    <t>S04</t>
  </si>
  <si>
    <t>Report results for campaign [SAC] INB MEDICARE in August 2026.</t>
  </si>
  <si>
    <t>If an essential parameter is missing, ask only for that clarification and do not return a definitive total first. Do not assume all campaigns or the latest period. Do not choose silently between incoming, answered and unanswered calls.</t>
  </si>
  <si>
    <t>Ask which metric is intended: incoming, answered, or unanswered/abandoned calls.</t>
  </si>
  <si>
    <t>Results for campaign [SAC] INB MEDICARE, August 2026, under the contractual scope:
Month: 2026-08. Campaign/queue: [SAC] INB MEDICARE. Answered calls: 35,913.
If “results” also means received calls, unanswered calls, ASA or AHT with talk, hold and ACW, specify which metrics you want and I can show them for the same period.</t>
  </si>
  <si>
    <t>AMA clearly labels an answered-call result and invites the user to specify other metrics. It nevertheless selects one metric before confirming the intended result. A complete KPI overview could be a valid alternative, but this response provides only answered calls.</t>
  </si>
  <si>
    <t>S05</t>
  </si>
  <si>
    <t>Report abandonment for campaign [SAC] INB MEDICARE in August 2026.</t>
  </si>
  <si>
    <t>If an essential parameter is missing, ask only for that clarification and do not return a definitive total first. Do not assume all campaigns or the latest period. Do not choose between gross and adjusted received volume.</t>
  </si>
  <si>
    <t>Ask whether to include all short abandons or exclude only unanswered sessions with waiting time &lt;30 s.</t>
  </si>
  <si>
    <t>In August 2026, abandonment for [SAC] INB MEDICARE was 1,489 calls (3.98%) including short abandons, and 1,115 calls (3.01%) excluding short abandons below 30 seconds that were not answered.
Including short abandons: 37,402 received versus 35,913 answered = 1,489 unanswered calls (3.98%).
Excluding short abandons: 37,028 received versus 35,913 answered = 1,115 unanswered calls (3.01%).
Impact of short abandons: 374 calls, approximately 0.97 percentage point of the abandonment rate. Received calls decrease and answered calls stay unchanged.
Contractual caveat: one call per session, based on the first timestamp, Monday–Friday, 08:00–20:00, excluding Portuguese holidays.</t>
  </si>
  <si>
    <t>Accepted alternative: instead of asking which abandonment definition to use, AMA provides both gross and adjusted counts and rates with correct labels and denominators. It resolves the ambiguity without silently choosing a definition.</t>
  </si>
  <si>
    <t>S06</t>
  </si>
  <si>
    <t>Report SLA for campaign [SAC] INB MEDICARE in August 2026.</t>
  </si>
  <si>
    <t>If an essential parameter is missing, ask only for that clarification and do not return a definitive total first. Do not assume all campaigns or the latest period. The waiting-time threshold and denominator are missing.</t>
  </si>
  <si>
    <t>Ask for the waiting-time threshold and whether the denominator is answered or received calls.</t>
  </si>
  <si>
    <t>I cannot provide SLA for campaign [SAC] INB MEDICARE in August 2026 with the available information and KPIs.
Data/KPI limitation: the only SLA KPI available here is “Service Level (Answered within 20s)”. It is global, covering all campaigns, and cannot be filtered by campaign and month under the approved definition.
The closest available output is SLA within 20 seconds calculated from our records for all connected calls across all campaigns, or ASA and the other monthly contractual metrics for [SAC] INB MEDICARE. ASA is the metric most closely related to SLA within the contractual scope.
There is also client_reported_sla_pct, but it is a global average reported by the client, without guaranteed campaign segmentation.</t>
  </si>
  <si>
    <t>AMA avoids inventing an SLA and explains a claimed KPI limitation. It does not ask for the waiting threshold and denominator needed to define the requested calculation. Its available-KPI limitation needs verification rather than being accepted as a source-data fact.</t>
  </si>
  <si>
    <t>S07</t>
  </si>
  <si>
    <t>Report total answered calls for queue [SAC] INB MEDICARE in August 2026.</t>
  </si>
  <si>
    <t>Campaign, period, metric and rules are defined; answer without asking for more filters.</t>
  </si>
  <si>
    <t>Return 35,913 answered calls.</t>
  </si>
  <si>
    <t>Total answered calls for queue [SAC] INB MEDICARE in August 2026, using the contractual session count:
35,913 answered calls.</t>
  </si>
  <si>
    <t>Returns the expected 35,913 answered calls without unnecessary clarification.</t>
  </si>
  <si>
    <t>S08</t>
  </si>
  <si>
    <t>Report total answered calls for queues [SAC] INB MEDICARE and [SAC] - ENG together in August 2026.</t>
  </si>
  <si>
    <t>The two-campaign union is explicit; do not ask whether all campaigns are intended.</t>
  </si>
  <si>
    <t>Return 36,148 answered calls.</t>
  </si>
  <si>
    <t>In August 2026, the total answered calls for [SAC] INB MEDICARE + [SAC] - ENG was 36,148, using the contractual session count.
Total answered calls in INB+ENG: 36,148 in August 2026.
INB alone had 35,913, so [SAC] - ENG adds 235 answered calls in the month.
Contractual caveat: one call per session, based on first entry, Monday–Friday, 08:00–20:00, excluding Portuguese holidays.</t>
  </si>
  <si>
    <t>Returns the expected combined total of 36,148 and retains the contractual rules. Additional INB/ENG context does not invalidate the answer.</t>
  </si>
  <si>
    <t>S09</t>
  </si>
  <si>
    <t>I want August 2026 answered calls for all five of these campaigns: [SAC] INB MEDICARE, [SAC] - ENG, [SAC] - IVR MEDICARE ValidaçãoDeCartões, [SAC] - IVR MEDICARE Marcação Consultas, [SAC] - IVR MEDICARE Adesões.</t>
  </si>
  <si>
    <t>“All” refers to the explicit five-campaign list; do not expand it or ask for campaign scope again.</t>
  </si>
  <si>
    <t>Return 36,359 answered calls.</t>
  </si>
  <si>
    <t>In August 2026, answered calls per session were [SAC] INB MEDICARE = 35,921; [SAC] - ENG = 235; ValidaçãoDeCartões = 211; Marcação Consultas = 0. I found no records for Adesões in this selection.
Answered calls by campaign: INB MEDICARE 35,921; ENG 235; IVR ValidaçãoDeCartões 211; IVR Marcação Consultas 0; IVR Adesões: no returned rows.
Comparability caveat: these values use session_id and the month of first contact, but do not apply the contractual scope of weekdays, 08:00–20:00 and holidays. Therefore, INB here, at 35,921, may differ from the earlier contractual value of 35,913.
Possible reason for Adesões: the exact name may differ due to accents or naming variants, or it may have zero occurrences in August 2026.</t>
  </si>
  <si>
    <t>The response explicitly drops the established operating-hours and holiday filters and reports INB as 35,921 instead of 35,913. It also does not return the requested five-service union total of 36,359.</t>
  </si>
  <si>
    <t>S10</t>
  </si>
  <si>
    <t>Only [SAC] - ENG.</t>
  </si>
  <si>
    <t>Retain the period and metric from context; use only the campaign now selected.</t>
  </si>
  <si>
    <t>Established rules: one call per SessionID; inbound received calls from Queue_Name entries without an Outcome filter; answered calls require Connected in the service; Monday–Friday, 08:00–20:00 Europe/Lisbon, excluding Portuguese national holidays. AMA has asked which campaigns to use for August 2026 answered calls.</t>
  </si>
  <si>
    <t>Return 235 answered calls without asking for the period again.</t>
  </si>
  <si>
    <t>In August 2026, the total answered calls for campaign [SAC] - ENG was 235, using session_id and the month of first contact, without applying the contractual scope.
Month: 2026-08. Campaign: [SAC] - ENG. Answered calls: 235.</t>
  </si>
  <si>
    <t>The value 235 matches numerically, but the response explicitly says it did not apply the contractual scope. A coincidentally matching total does not establish correct use of the inherited filters.</t>
  </si>
  <si>
    <t>S11</t>
  </si>
  <si>
    <t>And in August</t>
  </si>
  <si>
    <t>Retain campaign, year and metric from context; change only the month.</t>
  </si>
  <si>
    <t>Established rules: one call per SessionID; inbound received calls from Queue_Name entries without an Outcome filter; answered calls require Connected in the service; Monday–Friday, 08:00–20:00 Europe/Lisbon, excluding Portuguese national holidays. Previous request: adjusted received calls for [SAC] INB MEDICARE in July 2026.</t>
  </si>
  <si>
    <t>Return 37,028 adjusted received calls in August 2026.</t>
  </si>
  <si>
    <t>In August 2026, campaign [SAC] - ENG had 235 answered calls, counted by session/session_id.</t>
  </si>
  <si>
    <t>Against the declared context, AMA should retain INB, adjusted received calls and 2026, changing only July to August: 37,028. It instead returns ENG answered calls: 235. Confirm the fresh-session/context setup before attributing this to model memory.</t>
  </si>
  <si>
    <t>S12</t>
  </si>
  <si>
    <t>I want both together.</t>
  </si>
  <si>
    <t>Context resolves “both”; deduplicate sessions across the union without further clarification.</t>
  </si>
  <si>
    <t>Established rules: one call per SessionID; inbound received calls from Queue_Name entries without an Outcome filter; answered calls require Connected in the service; Monday–Friday, 08:00–20:00 Europe/Lisbon, excluding Portuguese national holidays. The two campaigns just defined are [SAC] INB MEDICARE and [SAC] - ENG; metric: answered calls; period: August 2026.</t>
  </si>
  <si>
    <t>In August 2026, the total answered calls for [SAC] INB MEDICARE + [SAC] - ENG was 36,148, using the contractual session/session_id count.</t>
  </si>
  <si>
    <t>Correctly resolves the two-service group from context and returns 36,148, with no redundant clarification.</t>
  </si>
  <si>
    <t>S13</t>
  </si>
  <si>
    <t>Now only [SAC] - ENG, keeping the period.</t>
  </si>
  <si>
    <t>Replace the campaign; do not add it to the previous scope.</t>
  </si>
  <si>
    <t>Established rules: one call per SessionID; inbound received calls from Queue_Name entries without an Outcome filter; answered calls require Connected in the service; Monday–Friday, 08:00–20:00 Europe/Lisbon, excluding Portuguese national holidays. Previous request: answered calls for [SAC] INB MEDICARE in August 2026.</t>
  </si>
  <si>
    <t>Return 235 answered calls for ENG.</t>
  </si>
  <si>
    <t>In August 2026, queue/campaign [SAC] - ENG had 235 answered calls, counted per session/session_id in the month of first contact.</t>
  </si>
  <si>
    <t>Returns 235 for ENG only and retains August 2026. No explicit conflicting filter statement appears, so omission of a repeated methodology paragraph is not treated as a failure.</t>
  </si>
  <si>
    <t>S14</t>
  </si>
  <si>
    <t>Report gross received calls for queue [SAC] INB MEDICARE on 10 June 2026.</t>
  </si>
  <si>
    <t>Apply the established calendar: 2026-06-10 is a national holiday, not missing coverage.</t>
  </si>
  <si>
    <t>Return 0 eligible received calls after the holiday filter.</t>
  </si>
  <si>
    <t>On 10 June 2026, queue [SAC] INB MEDICARE had 8 received calls, gross total.
Gross total: 8 interactions/source rows received in the queue that day, without session deduplication.
This is a gross queue-record count and may include several legs/interactions of one session.
Contractual caveat: 10 June 2026 is a Portuguese holiday and would be excluded from contractual metrics. Here it was retained because you requested “gross”.</t>
  </si>
  <si>
    <t>“Gross” changes neither the established holiday calendar nor the one-call-per-session rule. AMA returns 8 raw interaction rows on an excluded holiday instead of 0 eligible received sessions.</t>
  </si>
  <si>
    <t>S15</t>
  </si>
  <si>
    <t>Confirm whether queue [SAC] INB MEDICARE had zero answered calls in September 2026, using only the available file.</t>
  </si>
  <si>
    <t>The file ends on 2026-08-31. Do not mistake missing September coverage for zero.</t>
  </si>
  <si>
    <t>Unavailable: September is not covered. Do not confirm zero or estimate.</t>
  </si>
  <si>
    <t>The available file has no records for queue [SAC] INB MEDICARE in September 2026. Therefore, it cannot confirm “zero answered calls”. We can only state that the file contains zero records for that month.
File evidence: September 2026 and queue [SAC] INB MEDICARE return 0 rows, hence also 0 Connected rows.
Correct interpretation: this is consistent with the call extract ending in August 2026, so September 2026 is outside file coverage and does not necessarily have zero real volume.
To confirm the result, September 2026 call logs or another observed source are required.</t>
  </si>
  <si>
    <t>Correctly distinguishes missing September coverage from zero actual activity and identifies the additional source data needed. Different wording from the expected answer is fully accepted.</t>
  </si>
  <si>
    <t>S16</t>
  </si>
  <si>
    <t>I want answered calls for Appointment Booking in 2025.</t>
  </si>
  <si>
    <t>If an essential parameter is missing, ask only for that clarification and do not return a definitive total first. Do not assume all campaigns or the latest period. There are naming variants; ask for the exact campaign instead of combining them.</t>
  </si>
  <si>
    <t>Ask for the exact campaign, distinguishing the IVR appointment-booking campaign from [SAC BO] - Marcação Consultas.</t>
  </si>
  <si>
    <t>In 2025, campaign/queue [SAC] - IVR MEDICARE Marcação Consultas had 0 answered calls in every month, based on the available file.
2025 total: 0 answered calls, summing January–December 2025.
Monthly detail: 0 in every month.
Interpretation caveat: answered means a session with at least one Connected interaction. If this queue mainly provides IVR/routing without an agent connection, zero answered calls is plausible even when it receives traffic.</t>
  </si>
  <si>
    <t>AMA selects the IVR appointment-booking service without resolving the naming ambiguity with the back-office variant. The selected service’s zero result does not resolve the user’s intended scope.</t>
  </si>
  <si>
    <t>S17</t>
  </si>
  <si>
    <t>Report answered calls for queue [SAC] INB MEDICARE entering at or after 08:00 and before 09:00 local time in August 2026.</t>
  </si>
  <si>
    <t>Apply 08:00 &lt;= local entry &lt;09:00 directly in AMA; the source Excel UTC window is 07:00–08:00.</t>
  </si>
  <si>
    <t>Established rules: one call per SessionID; inbound received calls from Queue_Name entries without an Outcome filter; answered calls require Connected in the service; Monday–Friday, 08:00–20:00 Europe/Lisbon, excluding Portuguese national holidays. AMA’s datetime column is already in Europe/Lisbon.</t>
  </si>
  <si>
    <t>Return 1,076 answered calls; do not add another hour to the already-local datetime.</t>
  </si>
  <si>
    <t>In August 2026, queue [SAC] INB MEDICARE had 1,076 answered calls with entry at or after 08:00 and before 09:00 local time.
Total for 08:00–08:59: 1,076 answered calls.
Definition: one call per session_id, based on first entry, Monday–Friday, excluding holidays under the contractual scope.
Local time is the timestamp already stored in Europe/Lisbon, without additional conversion.</t>
  </si>
  <si>
    <t>Returns 1,076, preserves first-entry counting and calendar rules, and explicitly avoids converting an already-local timestamp again.</t>
  </si>
  <si>
    <t>S18</t>
  </si>
  <si>
    <t>State the UTC source interval corresponding to 08:00–20:00 GMT.</t>
  </si>
  <si>
    <t>GMT and UTC both have zero offset. The request explicitly says GMT, not Europe/Lisbon.</t>
  </si>
  <si>
    <t>Timezone-equivalence question, not a call-volume query.</t>
  </si>
  <si>
    <t>08:00–20:00 UTC; do not shift by one hour.</t>
  </si>
  <si>
    <t>That's outside what I can help with. I'm here to help you explore MedicareCC's data — things like trends, KPIs, comparisons, and breakdowns. What would you like to know about your data?</t>
  </si>
  <si>
    <t>The generic out-of-scope refusal blocks a timezone interpretation directly relevant to the supplied data. The required equivalence is 08:00–20:00 GMT = 08:00–20:00 UTC.</t>
  </si>
  <si>
    <t>S19</t>
  </si>
  <si>
    <t>For August 2026 I want 08:00–20:00 Portuguese local time, in GMT.</t>
  </si>
  <si>
    <t>If an essential parameter is missing, ask only for that clarification and do not return a definitive total first. Do not assume all campaigns or the latest period. In August, Europe/Lisbon is UTC+1 while GMT is UTC+0. Do not choose silently.</t>
  </si>
  <si>
    <t>No additional clarification has been established.</t>
  </si>
  <si>
    <t>Ask whether Europe/Lisbon local time or fixed GMT/UTC is intended.</t>
  </si>
  <si>
    <t>The request contains a real contradiction: Lisbon local time in August is UTC+1 while GMT is UTC+0. AMA should clarify the intended clock instead of issuing a generic refusal.</t>
  </si>
  <si>
    <t>S20</t>
  </si>
  <si>
    <t>Call 120903493 was answered without a campaign but with the INB MEDICARE queue, then had three campaign-identified interactions marked LocalError or Cancelled; state how many answered calls it represents.</t>
  </si>
  <si>
    <t>Recover the Connected interaction through the queue; one call per session. Later errors do not cancel the answered status.</t>
  </si>
  <si>
    <t>One answered call, neither four calls nor an abandoned session.</t>
  </si>
  <si>
    <t>It represents 1 answered call.
Call/session count: session 120903493 has 4 interactions but counts as 1 call, using one session_id.
It is answered because one interaction has outcome Connected. The session is therefore answered even though other interactions have LocalError or Cancelled outcomes.
If answered calls were counted by source rows/interactions, this would show 1 answered row and 3 unanswered rows. Under contractual call metrics, it is only 1 call.</t>
  </si>
  <si>
    <t>Correctly counts one answered session despite four interactions and later error/cancelled outcomes. The explanation is consistent with the stated criterion.</t>
  </si>
  <si>
    <t>S21</t>
  </si>
  <si>
    <t>A call has only one interaction, with no campaign, the INB MEDICARE queue and 90 seconds of waiting time, but no recorded call outcome; state whether it counts as received and whether it counts as answered.</t>
  </si>
  <si>
    <t>Queue_Name identifies a received entry without requiring Campaign_Name or Outcome. Without any Connected interaction, it is not answered. NULL Outcome does not prove who disconnected.</t>
  </si>
  <si>
    <t>Count 1 received call and 0 answered calls; its 90-second wait does not exclude it from adjusted received calls.</t>
  </si>
  <si>
    <t>It counts as received but not answered under the session definition.
Received: yes. It entered queue [SAC] INB MEDICARE, has an interaction record and has queue time of 90 seconds, so the session enters the received population.
Answered: no. There is no recorded Connected outcome in the session, so it is not marked as answered. It would therefore be treated as abandonment, calculated as received minus answered, and would not be a short abandon because 90 seconds is at least 30 seconds.</t>
  </si>
  <si>
    <t>Correctly counts a received queue entry without requiring campaign or Connected, classifies it as unanswered, and retains a 90-second wait under the adjusted-received rule. “Abandonment” is accepted as the benchmark metric convention.</t>
  </si>
  <si>
    <t>S22</t>
  </si>
  <si>
    <t>A call enters the same queue twice, waits 15 seconds in each interaction and is never answered; state whether it should be removed when excluding unanswered calls with less than 30 seconds of waiting time.</t>
  </si>
  <si>
    <t>Add both queue waits: 15+15=30 s; exclude only when the sum is &lt;30 s, never per interaction.</t>
  </si>
  <si>
    <t>Retain 1 adjusted received call, with 30 s total waiting time.</t>
  </si>
  <si>
    <t>Yes, it should be removed, provided the short-abandon exclusion operates per session using the session’s total queue time.
Under the criterion we have used, exclude only sessions with no Connected interaction and total queue time below 30 seconds. Since this call waited 15 + 15 = 30 seconds:
if the rule is strictly below 30 seconds, it is not removed;
if the rule is at most 30 seconds, it is removed.</t>
  </si>
  <si>
    <t>The opening instruction says to remove the call, but the later explanation correctly states that exactly 30 seconds is retained under a strict &lt;30-second rule. These contradictory directions are not a usable compliant answer.</t>
  </si>
  <si>
    <t>S23</t>
  </si>
  <si>
    <t>I want the August 2026 inbound total, including outbound callbacks.</t>
  </si>
  <si>
    <t>If an essential parameter is missing, ask only for that clarification and do not return a definitive total first. Do not assume all campaigns or the latest period. “Inbound” and including outbound callbacks define different populations.</t>
  </si>
  <si>
    <t>Ask whether only inbound or inbound plus callbacks is intended, with the two types separated.</t>
  </si>
  <si>
    <t>I cannot calculate “total inbound including outbound callbacks” under one approved definition. Contractual inbound KPIs explicitly exclude [SAC] - Callbacks, and there is no official KPI here that adds inbound and callbacks.
The contractual inbound reference for August 2026 is “Incoming Calls by Month – Medicare Contractual Counting Rules”, which excludes callbacks by agreement.
What is missing is an explicit rule to identify outbound callbacks in the file by campaign/queue/outcome and to deduplicate them by session when combining them with inbound.
A viable option is to provide two figures side by side for August 2026: contractual inbound and the volume of sessions/rows for campaign [SAC] - Callbacks, then add them if you confirm that definition.</t>
  </si>
  <si>
    <t>Accepted alternative: AMA recognises that inbound and outbound callbacks define different scopes, avoids inventing a combined approved KPI, and offers separately identified figures subject to confirmation. The clarification wording need not match the expected sentence.</t>
  </si>
  <si>
    <t>S24</t>
  </si>
  <si>
    <t>Report answered calls for queue [SAC] INB MEDICARE in August.</t>
  </si>
  <si>
    <t>If an essential parameter is missing, ask only for that clarification and do not return a definitive total first. Do not assume all campaigns or the latest period. August data exists for 2024, 2025 and 2026.</t>
  </si>
  <si>
    <t>Established rules: one call per SessionID; inbound received calls from Queue_Name entries without an Outcome filter; answered calls require Connected in the service; Monday–Friday, 08:00–20:00 Europe/Lisbon, excluding Portuguese national holidays. No year has been established in the conversation.</t>
  </si>
  <si>
    <t>Ask which year; do not select 2026 merely because it is the latest.</t>
  </si>
  <si>
    <t>In August 2026, queue [SAC] INB MEDICARE had 35,913 answered calls, using the contractual session/session_id count.</t>
  </si>
  <si>
    <t>AMA assumes 2026 although no year is established and the dataset covers several August periods. It should ask which year before returning 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</si>
</sst>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sz val="10"/>
      <color rgb="FF323232"/>
      <name val="Aptos"/>
      <family val="2"/>
    </font>
    <font>
      <b/>
      <sz val="15"/>
      <color rgb="FFD71920"/>
      <name val="Aptos"/>
      <family val="2"/>
    </font>
    <font>
      <sz val="10"/>
      <color rgb="FF6F6F6F"/>
      <name val="Aptos"/>
      <family val="2"/>
    </font>
    <font>
      <b/>
      <sz val="10"/>
      <color rgb="FFFFFFFF"/>
      <name val="Aptos"/>
      <family val="2"/>
    </font>
  </fonts>
  <fills count="4">
    <fill>
      <patternFill patternType="none"/>
    </fill>
    <fill>
      <patternFill patternType="gray125"/>
    </fill>
    <fill>
      <patternFill patternType="solid">
        <fgColor rgb="FF323232"/>
      </patternFill>
    </fill>
    <fill>
      <patternFill patternType="solid">
        <fgColor rgb="FFD71920"/>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1" fillId="0" borderId="0" xfId="0" applyFont="1" applyAlignment="1">
      <alignment vertical="top" wrapText="1"/>
    </xf>
    <xf numFmtId="0" fontId="1" fillId="0" borderId="0" xfId="0" applyFont="1" applyAlignment="1">
      <alignment horizontal="right" vertical="top" wrapText="1"/>
    </xf>
    <xf numFmtId="3" fontId="1" fillId="0" borderId="0" xfId="0" applyNumberFormat="1" applyFont="1" applyAlignment="1">
      <alignment horizontal="right" vertical="top" wrapText="1"/>
    </xf>
    <xf numFmtId="3" fontId="1" fillId="0" borderId="0" xfId="0" applyNumberFormat="1" applyFont="1" applyAlignment="1">
      <alignment vertical="top" wrapText="1"/>
    </xf>
    <xf numFmtId="10" fontId="1" fillId="0" borderId="0" xfId="0" applyNumberFormat="1" applyFont="1" applyAlignment="1">
      <alignment horizontal="right" vertical="top" wrapText="1"/>
    </xf>
    <xf numFmtId="10" fontId="1" fillId="0" borderId="0" xfId="0" applyNumberFormat="1" applyFont="1" applyAlignment="1">
      <alignment vertical="top" wrapText="1"/>
    </xf>
    <xf numFmtId="4" fontId="1" fillId="0" borderId="0" xfId="0" applyNumberFormat="1" applyFont="1" applyAlignment="1">
      <alignment horizontal="right" vertical="top" wrapText="1"/>
    </xf>
    <xf numFmtId="4" fontId="1" fillId="0" borderId="0" xfId="0" applyNumberFormat="1" applyFont="1" applyAlignment="1">
      <alignment vertical="top" wrapText="1"/>
    </xf>
    <xf numFmtId="9" fontId="1" fillId="0" borderId="0" xfId="0" applyNumberFormat="1" applyFont="1" applyAlignment="1">
      <alignment vertical="top" wrapText="1"/>
    </xf>
    <xf numFmtId="164" fontId="1" fillId="0" borderId="0" xfId="0" applyNumberFormat="1" applyFont="1" applyAlignment="1">
      <alignment horizontal="right" vertical="top" wrapText="1"/>
    </xf>
    <xf numFmtId="164" fontId="1" fillId="0" borderId="0" xfId="0" applyNumberFormat="1" applyFont="1" applyAlignment="1">
      <alignment vertical="top" wrapText="1"/>
    </xf>
  </cellXfs>
  <cellStyles count="1">
    <cellStyle name="Normal" xfId="0" builtinId="0"/>
  </cellStyles>
  <dxfs count="14">
    <dxf>
      <font>
        <b/>
        <color rgb="FF805100"/>
      </font>
    </dxf>
    <dxf>
      <font>
        <b/>
        <color rgb="FFA11319"/>
      </font>
    </dxf>
    <dxf>
      <fill>
        <patternFill patternType="solid">
          <bgColor rgb="FFFFF2CC"/>
        </patternFill>
      </fill>
    </dxf>
    <dxf>
      <fill>
        <patternFill patternType="solid">
          <bgColor rgb="FFFFF2CC"/>
        </patternFill>
      </fill>
    </dxf>
    <dxf>
      <fill>
        <patternFill patternType="solid">
          <bgColor rgb="FFFCE7E9"/>
        </patternFill>
      </fill>
    </dxf>
    <dxf>
      <font>
        <i/>
        <color rgb="FF6F6F6F"/>
      </font>
    </dxf>
    <dxf>
      <font>
        <b/>
        <color rgb="FFA11319"/>
      </font>
      <fill>
        <patternFill patternType="solid">
          <bgColor rgb="FFF8C8CD"/>
        </patternFill>
      </fill>
    </dxf>
    <dxf>
      <font>
        <i/>
        <color rgb="FF6F6F6F"/>
      </font>
    </dxf>
    <dxf>
      <font>
        <b/>
        <color rgb="FFA11319"/>
      </font>
      <fill>
        <patternFill patternType="solid">
          <bgColor rgb="FFF8C8CD"/>
        </patternFill>
      </fill>
    </dxf>
    <dxf>
      <font>
        <b/>
        <color rgb="FF805100"/>
      </font>
    </dxf>
    <dxf>
      <font>
        <b/>
        <color rgb="FFA11319"/>
      </font>
    </dxf>
    <dxf>
      <fill>
        <patternFill patternType="solid">
          <bgColor rgb="FFFFF2CC"/>
        </patternFill>
      </fill>
    </dxf>
    <dxf>
      <fill>
        <patternFill patternType="solid">
          <bgColor rgb="FFFFF2CC"/>
        </patternFill>
      </fill>
    </dxf>
    <dxf>
      <fill>
        <patternFill patternType="solid">
          <bgColor rgb="FFFCE7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ntitativeTests" displayName="QuantitativeTests" ref="A7:K73" totalsRowShown="0">
  <tableColumns count="11">
    <tableColumn id="1" xr3:uid="{00000000-0010-0000-0000-000001000000}" name="Test ID"/>
    <tableColumn id="2" xr3:uid="{00000000-0010-0000-0000-000002000000}" name="Latest outcome"/>
    <tableColumn id="3" xr3:uid="{00000000-0010-0000-0000-000003000000}" name="Question asked (English)"/>
    <tableColumn id="4" xr3:uid="{00000000-0010-0000-0000-000004000000}" name="Validation criterion"/>
    <tableColumn id="5" xr3:uid="{00000000-0010-0000-0000-000005000000}" name="Expected result"/>
    <tableColumn id="6" xr3:uid="{00000000-0010-0000-0000-000006000000}" name="Unit"/>
    <tableColumn id="7" xr3:uid="{00000000-0010-0000-0000-000007000000}" name="Recorded AMA response 1"/>
    <tableColumn id="8" xr3:uid="{00000000-0010-0000-0000-000008000000}" name="Result 1"/>
    <tableColumn id="9" xr3:uid="{00000000-0010-0000-0000-000009000000}" name="Recorded AMA response 2"/>
    <tableColumn id="10" xr3:uid="{00000000-0010-0000-0000-00000A000000}" name="Result 2"/>
    <tableColumn id="11" xr3:uid="{00000000-0010-0000-0000-00000B000000}" name="Reviewer rational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ressTests" displayName="StressTests" ref="A7:H31" totalsRowShown="0">
  <autoFilter ref="A7:H31" xr:uid="{00000000-000C-0000-FFFF-FFFF01000000}"/>
  <tableColumns count="8">
    <tableColumn id="1" xr3:uid="{00000000-0010-0000-0100-000001000000}" name="Test ID"/>
    <tableColumn id="2" xr3:uid="{00000000-0010-0000-0100-000002000000}" name="Assessment"/>
    <tableColumn id="3" xr3:uid="{00000000-0010-0000-0100-000003000000}" name="Question asked (English)"/>
    <tableColumn id="4" xr3:uid="{00000000-0010-0000-0100-000004000000}" name="Validation criterion"/>
    <tableColumn id="5" xr3:uid="{00000000-0010-0000-0100-000005000000}" name="Established context"/>
    <tableColumn id="6" xr3:uid="{00000000-0010-0000-0100-000006000000}" name="Expected behaviour"/>
    <tableColumn id="7" xr3:uid="{00000000-0010-0000-0100-000007000000}" name="Recorded AMA response (English)"/>
    <tableColumn id="8" xr3:uid="{00000000-0010-0000-0100-000008000000}" name="Reviewer rationale"/>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71920"/>
  </sheetPr>
  <dimension ref="A1:K73"/>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9" customWidth="1"/>
    <col min="2" max="2" width="24" customWidth="1"/>
    <col min="3" max="3" width="80" customWidth="1"/>
    <col min="4" max="4" width="108" customWidth="1"/>
    <col min="5" max="5" width="43" customWidth="1"/>
    <col min="6" max="6" width="12" customWidth="1"/>
    <col min="7" max="7" width="60" customWidth="1"/>
    <col min="8" max="8" width="24" customWidth="1"/>
    <col min="9" max="9" width="60" customWidth="1"/>
    <col min="10" max="10" width="24" customWidth="1"/>
    <col min="11" max="11" width="100" customWidth="1"/>
  </cols>
  <sheetData>
    <row r="1" spans="1:11" ht="8.1" customHeight="1">
      <c r="A1" s="1"/>
      <c r="B1" s="1"/>
      <c r="C1" s="1"/>
      <c r="D1" s="1"/>
      <c r="E1" s="1"/>
      <c r="F1" s="1"/>
      <c r="G1" s="1"/>
      <c r="H1" s="1"/>
      <c r="I1" s="1"/>
      <c r="J1" s="1"/>
      <c r="K1" s="1"/>
    </row>
    <row r="2" spans="1:11" ht="26.1" customHeight="1">
      <c r="A2" s="2" t="s">
        <v>0</v>
      </c>
      <c r="B2" s="1"/>
      <c r="C2" s="1"/>
      <c r="D2" s="1"/>
      <c r="E2" s="1"/>
      <c r="F2" s="1"/>
      <c r="G2" s="1"/>
      <c r="H2" s="1"/>
      <c r="I2" s="1"/>
      <c r="J2" s="1"/>
      <c r="K2" s="1"/>
    </row>
    <row r="3" spans="1:11" ht="18.95" customHeight="1">
      <c r="A3" s="1" t="s">
        <v>1</v>
      </c>
      <c r="B3" s="1"/>
      <c r="C3" s="1"/>
      <c r="D3" s="1"/>
      <c r="E3" s="1"/>
      <c r="F3" s="1"/>
      <c r="G3" s="1"/>
      <c r="H3" s="1"/>
      <c r="I3" s="1"/>
      <c r="J3" s="1"/>
      <c r="K3" s="1"/>
    </row>
    <row r="4" spans="1:11" ht="18.95" customHeight="1">
      <c r="A4" s="3" t="s">
        <v>2</v>
      </c>
      <c r="B4" s="1"/>
      <c r="C4" s="1"/>
      <c r="D4" s="1"/>
      <c r="E4" s="1"/>
      <c r="F4" s="1"/>
      <c r="G4" s="1"/>
      <c r="H4" s="1"/>
      <c r="I4" s="1"/>
      <c r="J4" s="1"/>
      <c r="K4" s="1"/>
    </row>
    <row r="5" spans="1:11" ht="18.95" customHeight="1">
      <c r="A5" s="3" t="s">
        <v>3</v>
      </c>
      <c r="B5" s="1"/>
      <c r="C5" s="1"/>
      <c r="D5" s="1"/>
      <c r="E5" s="1"/>
      <c r="F5" s="1"/>
      <c r="G5" s="1"/>
      <c r="H5" s="1"/>
      <c r="I5" s="1"/>
      <c r="J5" s="1"/>
      <c r="K5" s="1"/>
    </row>
    <row r="6" spans="1:11">
      <c r="A6" s="1"/>
      <c r="B6" s="1"/>
      <c r="C6" s="1"/>
      <c r="D6" s="1"/>
      <c r="E6" s="1"/>
      <c r="F6" s="1"/>
      <c r="G6" s="1"/>
      <c r="H6" s="1"/>
      <c r="I6" s="1"/>
      <c r="J6" s="1"/>
      <c r="K6" s="1"/>
    </row>
    <row r="7" spans="1:11" ht="33.950000000000003" customHeight="1">
      <c r="A7" s="4" t="s">
        <v>4</v>
      </c>
      <c r="B7" s="5" t="s">
        <v>5</v>
      </c>
      <c r="C7" s="5" t="s">
        <v>6</v>
      </c>
      <c r="D7" s="5" t="s">
        <v>7</v>
      </c>
      <c r="E7" s="5" t="s">
        <v>8</v>
      </c>
      <c r="F7" s="5" t="s">
        <v>9</v>
      </c>
      <c r="G7" s="5" t="s">
        <v>10</v>
      </c>
      <c r="H7" s="5" t="s">
        <v>11</v>
      </c>
      <c r="I7" s="5" t="s">
        <v>12</v>
      </c>
      <c r="J7" s="5" t="s">
        <v>13</v>
      </c>
      <c r="K7" s="5" t="s">
        <v>14</v>
      </c>
    </row>
    <row r="8" spans="1:11" ht="68.099999999999994" customHeight="1">
      <c r="A8" s="6" t="s">
        <v>15</v>
      </c>
      <c r="B8" s="6" t="s">
        <v>16</v>
      </c>
      <c r="C8" s="6" t="s">
        <v>17</v>
      </c>
      <c r="D8" s="6" t="s">
        <v>18</v>
      </c>
      <c r="E8" s="8">
        <v>37402</v>
      </c>
      <c r="F8" s="6" t="s">
        <v>19</v>
      </c>
      <c r="G8" s="9">
        <v>37402</v>
      </c>
      <c r="H8" s="6" t="s">
        <v>16</v>
      </c>
      <c r="I8" s="9">
        <v>37402</v>
      </c>
      <c r="J8" s="6" t="s">
        <v>16</v>
      </c>
      <c r="K8" s="6" t="s">
        <v>20</v>
      </c>
    </row>
    <row r="9" spans="1:11" ht="68.099999999999994" customHeight="1">
      <c r="A9" s="6" t="s">
        <v>21</v>
      </c>
      <c r="B9" s="6" t="s">
        <v>16</v>
      </c>
      <c r="C9" s="6" t="s">
        <v>22</v>
      </c>
      <c r="D9" s="6" t="s">
        <v>23</v>
      </c>
      <c r="E9" s="8">
        <v>37740</v>
      </c>
      <c r="F9" s="6" t="s">
        <v>19</v>
      </c>
      <c r="G9" s="9">
        <v>37740</v>
      </c>
      <c r="H9" s="6" t="s">
        <v>16</v>
      </c>
      <c r="I9" s="9">
        <v>37740</v>
      </c>
      <c r="J9" s="6" t="s">
        <v>16</v>
      </c>
      <c r="K9" s="6" t="s">
        <v>20</v>
      </c>
    </row>
    <row r="10" spans="1:11" ht="152.1" customHeight="1">
      <c r="A10" s="6" t="s">
        <v>24</v>
      </c>
      <c r="B10" s="6" t="s">
        <v>16</v>
      </c>
      <c r="C10" s="6" t="s">
        <v>25</v>
      </c>
      <c r="D10" s="6" t="s">
        <v>26</v>
      </c>
      <c r="E10" s="8">
        <v>37028</v>
      </c>
      <c r="F10" s="6" t="s">
        <v>19</v>
      </c>
      <c r="G10" s="9">
        <v>37028</v>
      </c>
      <c r="H10" s="6" t="s">
        <v>16</v>
      </c>
      <c r="I10" s="9">
        <v>37028</v>
      </c>
      <c r="J10" s="6" t="s">
        <v>16</v>
      </c>
      <c r="K10" s="6" t="s">
        <v>20</v>
      </c>
    </row>
    <row r="11" spans="1:11" ht="152.1" customHeight="1">
      <c r="A11" s="6" t="s">
        <v>27</v>
      </c>
      <c r="B11" s="6" t="s">
        <v>16</v>
      </c>
      <c r="C11" s="6" t="s">
        <v>28</v>
      </c>
      <c r="D11" s="6" t="s">
        <v>29</v>
      </c>
      <c r="E11" s="8">
        <v>37356</v>
      </c>
      <c r="F11" s="6" t="s">
        <v>19</v>
      </c>
      <c r="G11" s="9">
        <v>37356</v>
      </c>
      <c r="H11" s="6" t="s">
        <v>16</v>
      </c>
      <c r="I11" s="9">
        <v>37356</v>
      </c>
      <c r="J11" s="6" t="s">
        <v>16</v>
      </c>
      <c r="K11" s="6" t="s">
        <v>20</v>
      </c>
    </row>
    <row r="12" spans="1:11" ht="104.1" customHeight="1">
      <c r="A12" s="6" t="s">
        <v>30</v>
      </c>
      <c r="B12" s="6" t="s">
        <v>16</v>
      </c>
      <c r="C12" s="6" t="s">
        <v>31</v>
      </c>
      <c r="D12" s="6" t="s">
        <v>32</v>
      </c>
      <c r="E12" s="8">
        <v>35913</v>
      </c>
      <c r="F12" s="6" t="s">
        <v>19</v>
      </c>
      <c r="G12" s="9">
        <v>35913</v>
      </c>
      <c r="H12" s="6" t="s">
        <v>16</v>
      </c>
      <c r="I12" s="9">
        <v>35913</v>
      </c>
      <c r="J12" s="6" t="s">
        <v>16</v>
      </c>
      <c r="K12" s="6" t="s">
        <v>20</v>
      </c>
    </row>
    <row r="13" spans="1:11" ht="104.1" customHeight="1">
      <c r="A13" s="6" t="s">
        <v>33</v>
      </c>
      <c r="B13" s="6" t="s">
        <v>16</v>
      </c>
      <c r="C13" s="6" t="s">
        <v>34</v>
      </c>
      <c r="D13" s="6" t="s">
        <v>35</v>
      </c>
      <c r="E13" s="8">
        <v>36148</v>
      </c>
      <c r="F13" s="6" t="s">
        <v>19</v>
      </c>
      <c r="G13" s="9">
        <v>36148</v>
      </c>
      <c r="H13" s="6" t="s">
        <v>16</v>
      </c>
      <c r="I13" s="9">
        <v>36148</v>
      </c>
      <c r="J13" s="6" t="s">
        <v>16</v>
      </c>
      <c r="K13" s="6" t="s">
        <v>20</v>
      </c>
    </row>
    <row r="14" spans="1:11" ht="116.1" customHeight="1">
      <c r="A14" s="6" t="s">
        <v>36</v>
      </c>
      <c r="B14" s="6" t="s">
        <v>16</v>
      </c>
      <c r="C14" s="6" t="s">
        <v>37</v>
      </c>
      <c r="D14" s="6" t="s">
        <v>38</v>
      </c>
      <c r="E14" s="8">
        <v>1489</v>
      </c>
      <c r="F14" s="6" t="s">
        <v>19</v>
      </c>
      <c r="G14" s="9">
        <v>1489</v>
      </c>
      <c r="H14" s="6" t="s">
        <v>16</v>
      </c>
      <c r="I14" s="9">
        <v>1489</v>
      </c>
      <c r="J14" s="6" t="s">
        <v>16</v>
      </c>
      <c r="K14" s="6" t="s">
        <v>20</v>
      </c>
    </row>
    <row r="15" spans="1:11" ht="116.1" customHeight="1">
      <c r="A15" s="6" t="s">
        <v>39</v>
      </c>
      <c r="B15" s="6" t="s">
        <v>16</v>
      </c>
      <c r="C15" s="6" t="s">
        <v>40</v>
      </c>
      <c r="D15" s="6" t="s">
        <v>41</v>
      </c>
      <c r="E15" s="8">
        <v>1592</v>
      </c>
      <c r="F15" s="6" t="s">
        <v>19</v>
      </c>
      <c r="G15" s="9">
        <v>1592</v>
      </c>
      <c r="H15" s="6" t="s">
        <v>16</v>
      </c>
      <c r="I15" s="9">
        <v>1592</v>
      </c>
      <c r="J15" s="6" t="s">
        <v>16</v>
      </c>
      <c r="K15" s="6" t="s">
        <v>20</v>
      </c>
    </row>
    <row r="16" spans="1:11" ht="140.1" customHeight="1">
      <c r="A16" s="6" t="s">
        <v>42</v>
      </c>
      <c r="B16" s="6" t="s">
        <v>16</v>
      </c>
      <c r="C16" s="6" t="s">
        <v>43</v>
      </c>
      <c r="D16" s="6" t="s">
        <v>44</v>
      </c>
      <c r="E16" s="8">
        <v>374</v>
      </c>
      <c r="F16" s="6" t="s">
        <v>19</v>
      </c>
      <c r="G16" s="9">
        <v>374</v>
      </c>
      <c r="H16" s="6" t="s">
        <v>16</v>
      </c>
      <c r="I16" s="9">
        <v>374</v>
      </c>
      <c r="J16" s="6" t="s">
        <v>16</v>
      </c>
      <c r="K16" s="6" t="s">
        <v>20</v>
      </c>
    </row>
    <row r="17" spans="1:11" ht="140.1" customHeight="1">
      <c r="A17" s="6" t="s">
        <v>45</v>
      </c>
      <c r="B17" s="6" t="s">
        <v>16</v>
      </c>
      <c r="C17" s="6" t="s">
        <v>46</v>
      </c>
      <c r="D17" s="6" t="s">
        <v>47</v>
      </c>
      <c r="E17" s="8">
        <v>384</v>
      </c>
      <c r="F17" s="6" t="s">
        <v>19</v>
      </c>
      <c r="G17" s="9">
        <v>384</v>
      </c>
      <c r="H17" s="6" t="s">
        <v>16</v>
      </c>
      <c r="I17" s="9">
        <v>384</v>
      </c>
      <c r="J17" s="6" t="s">
        <v>16</v>
      </c>
      <c r="K17" s="6" t="s">
        <v>20</v>
      </c>
    </row>
    <row r="18" spans="1:11" ht="140.1" customHeight="1">
      <c r="A18" s="6" t="s">
        <v>48</v>
      </c>
      <c r="B18" s="6" t="s">
        <v>16</v>
      </c>
      <c r="C18" s="6" t="s">
        <v>49</v>
      </c>
      <c r="D18" s="6" t="s">
        <v>50</v>
      </c>
      <c r="E18" s="8">
        <v>1115</v>
      </c>
      <c r="F18" s="6" t="s">
        <v>19</v>
      </c>
      <c r="G18" s="9">
        <v>1115</v>
      </c>
      <c r="H18" s="6" t="s">
        <v>16</v>
      </c>
      <c r="I18" s="9">
        <v>1115</v>
      </c>
      <c r="J18" s="6" t="s">
        <v>16</v>
      </c>
      <c r="K18" s="6" t="s">
        <v>20</v>
      </c>
    </row>
    <row r="19" spans="1:11" ht="140.1" customHeight="1">
      <c r="A19" s="6" t="s">
        <v>51</v>
      </c>
      <c r="B19" s="6" t="s">
        <v>16</v>
      </c>
      <c r="C19" s="6" t="s">
        <v>52</v>
      </c>
      <c r="D19" s="6" t="s">
        <v>53</v>
      </c>
      <c r="E19" s="8">
        <v>1208</v>
      </c>
      <c r="F19" s="6" t="s">
        <v>19</v>
      </c>
      <c r="G19" s="9">
        <v>1208</v>
      </c>
      <c r="H19" s="6" t="s">
        <v>16</v>
      </c>
      <c r="I19" s="9">
        <v>1208</v>
      </c>
      <c r="J19" s="6" t="s">
        <v>16</v>
      </c>
      <c r="K19" s="6" t="s">
        <v>20</v>
      </c>
    </row>
    <row r="20" spans="1:11" ht="140.1" customHeight="1">
      <c r="A20" s="6" t="s">
        <v>54</v>
      </c>
      <c r="B20" s="6" t="s">
        <v>16</v>
      </c>
      <c r="C20" s="6" t="s">
        <v>55</v>
      </c>
      <c r="D20" s="6" t="s">
        <v>56</v>
      </c>
      <c r="E20" s="10">
        <v>0.96988765258723131</v>
      </c>
      <c r="F20" s="6" t="s">
        <v>57</v>
      </c>
      <c r="G20" s="11">
        <v>0.96989999999999998</v>
      </c>
      <c r="H20" s="6" t="s">
        <v>16</v>
      </c>
      <c r="I20" s="11">
        <v>0.96989999999999998</v>
      </c>
      <c r="J20" s="6" t="s">
        <v>16</v>
      </c>
      <c r="K20" s="6" t="s">
        <v>58</v>
      </c>
    </row>
    <row r="21" spans="1:11" ht="140.1" customHeight="1">
      <c r="A21" s="6" t="s">
        <v>59</v>
      </c>
      <c r="B21" s="6" t="s">
        <v>16</v>
      </c>
      <c r="C21" s="6" t="s">
        <v>60</v>
      </c>
      <c r="D21" s="6" t="s">
        <v>61</v>
      </c>
      <c r="E21" s="10">
        <v>0.96766249063068854</v>
      </c>
      <c r="F21" s="6" t="s">
        <v>57</v>
      </c>
      <c r="G21" s="11">
        <v>0.9677</v>
      </c>
      <c r="H21" s="6" t="s">
        <v>16</v>
      </c>
      <c r="I21" s="11">
        <v>0.9677</v>
      </c>
      <c r="J21" s="6" t="s">
        <v>16</v>
      </c>
      <c r="K21" s="6" t="s">
        <v>58</v>
      </c>
    </row>
    <row r="22" spans="1:11" ht="116.1" customHeight="1">
      <c r="A22" s="6" t="s">
        <v>62</v>
      </c>
      <c r="B22" s="6" t="s">
        <v>16</v>
      </c>
      <c r="C22" s="6" t="s">
        <v>63</v>
      </c>
      <c r="D22" s="6" t="s">
        <v>64</v>
      </c>
      <c r="E22" s="10">
        <v>3.981070530987648E-2</v>
      </c>
      <c r="F22" s="6" t="s">
        <v>57</v>
      </c>
      <c r="G22" s="11">
        <v>3.9800000000000002E-2</v>
      </c>
      <c r="H22" s="6" t="s">
        <v>16</v>
      </c>
      <c r="I22" s="11">
        <v>3.9800000000000002E-2</v>
      </c>
      <c r="J22" s="6" t="s">
        <v>16</v>
      </c>
      <c r="K22" s="6" t="s">
        <v>58</v>
      </c>
    </row>
    <row r="23" spans="1:11" ht="116.1" customHeight="1">
      <c r="A23" s="6" t="s">
        <v>65</v>
      </c>
      <c r="B23" s="6" t="s">
        <v>16</v>
      </c>
      <c r="C23" s="6" t="s">
        <v>66</v>
      </c>
      <c r="D23" s="6" t="s">
        <v>67</v>
      </c>
      <c r="E23" s="10">
        <v>4.2183359830418654E-2</v>
      </c>
      <c r="F23" s="6" t="s">
        <v>57</v>
      </c>
      <c r="G23" s="11">
        <v>4.2200000000000001E-2</v>
      </c>
      <c r="H23" s="6" t="s">
        <v>16</v>
      </c>
      <c r="I23" s="11">
        <v>4.2200000000000001E-2</v>
      </c>
      <c r="J23" s="6" t="s">
        <v>16</v>
      </c>
      <c r="K23" s="6" t="s">
        <v>58</v>
      </c>
    </row>
    <row r="24" spans="1:11" ht="152.1" customHeight="1">
      <c r="A24" s="6" t="s">
        <v>68</v>
      </c>
      <c r="B24" s="6" t="s">
        <v>16</v>
      </c>
      <c r="C24" s="6" t="s">
        <v>69</v>
      </c>
      <c r="D24" s="6" t="s">
        <v>70</v>
      </c>
      <c r="E24" s="10">
        <v>3.0112347412768716E-2</v>
      </c>
      <c r="F24" s="6" t="s">
        <v>57</v>
      </c>
      <c r="G24" s="11">
        <v>3.0099999999999998E-2</v>
      </c>
      <c r="H24" s="6" t="s">
        <v>16</v>
      </c>
      <c r="I24" s="11">
        <v>3.0099999999999998E-2</v>
      </c>
      <c r="J24" s="6" t="s">
        <v>16</v>
      </c>
      <c r="K24" s="6" t="s">
        <v>58</v>
      </c>
    </row>
    <row r="25" spans="1:11" ht="152.1" customHeight="1">
      <c r="A25" s="6" t="s">
        <v>71</v>
      </c>
      <c r="B25" s="6" t="s">
        <v>16</v>
      </c>
      <c r="C25" s="6" t="s">
        <v>72</v>
      </c>
      <c r="D25" s="6" t="s">
        <v>73</v>
      </c>
      <c r="E25" s="10">
        <v>3.2337509369311492E-2</v>
      </c>
      <c r="F25" s="6" t="s">
        <v>57</v>
      </c>
      <c r="G25" s="11">
        <v>3.2300000000000002E-2</v>
      </c>
      <c r="H25" s="6" t="s">
        <v>16</v>
      </c>
      <c r="I25" s="11">
        <v>3.2300000000000002E-2</v>
      </c>
      <c r="J25" s="6" t="s">
        <v>16</v>
      </c>
      <c r="K25" s="6" t="s">
        <v>58</v>
      </c>
    </row>
    <row r="26" spans="1:11" ht="152.1" customHeight="1">
      <c r="A26" s="6" t="s">
        <v>74</v>
      </c>
      <c r="B26" s="6" t="s">
        <v>16</v>
      </c>
      <c r="C26" s="6" t="s">
        <v>75</v>
      </c>
      <c r="D26" s="6" t="s">
        <v>76</v>
      </c>
      <c r="E26" s="10">
        <v>0.84882911480522372</v>
      </c>
      <c r="F26" s="6" t="s">
        <v>57</v>
      </c>
      <c r="G26" s="11">
        <v>0.8488</v>
      </c>
      <c r="H26" s="6" t="s">
        <v>16</v>
      </c>
      <c r="I26" s="11">
        <v>0.8488</v>
      </c>
      <c r="J26" s="6" t="s">
        <v>16</v>
      </c>
      <c r="K26" s="6" t="s">
        <v>58</v>
      </c>
    </row>
    <row r="27" spans="1:11" ht="152.1" customHeight="1">
      <c r="A27" s="6" t="s">
        <v>77</v>
      </c>
      <c r="B27" s="6" t="s">
        <v>16</v>
      </c>
      <c r="C27" s="6" t="s">
        <v>78</v>
      </c>
      <c r="D27" s="6" t="s">
        <v>79</v>
      </c>
      <c r="E27" s="10">
        <v>0.84715613588580285</v>
      </c>
      <c r="F27" s="6" t="s">
        <v>57</v>
      </c>
      <c r="G27" s="11">
        <v>0.84719999999999995</v>
      </c>
      <c r="H27" s="6" t="s">
        <v>16</v>
      </c>
      <c r="I27" s="11">
        <v>0.84719999999999995</v>
      </c>
      <c r="J27" s="6" t="s">
        <v>16</v>
      </c>
      <c r="K27" s="6" t="s">
        <v>58</v>
      </c>
    </row>
    <row r="28" spans="1:11" ht="140.1" customHeight="1">
      <c r="A28" s="6" t="s">
        <v>80</v>
      </c>
      <c r="B28" s="6" t="s">
        <v>81</v>
      </c>
      <c r="C28" s="6" t="s">
        <v>82</v>
      </c>
      <c r="D28" s="6" t="s">
        <v>83</v>
      </c>
      <c r="E28" s="12">
        <v>16.587133266505163</v>
      </c>
      <c r="F28" s="6" t="s">
        <v>84</v>
      </c>
      <c r="G28" s="11">
        <v>0.16600000000000001</v>
      </c>
      <c r="H28" s="6" t="s">
        <v>81</v>
      </c>
      <c r="I28" s="11">
        <v>0.16600000000000001</v>
      </c>
      <c r="J28" s="6" t="s">
        <v>81</v>
      </c>
      <c r="K28" s="6" t="s">
        <v>85</v>
      </c>
    </row>
    <row r="29" spans="1:11" ht="140.1" customHeight="1">
      <c r="A29" s="6" t="s">
        <v>86</v>
      </c>
      <c r="B29" s="6" t="s">
        <v>16</v>
      </c>
      <c r="C29" s="6" t="s">
        <v>87</v>
      </c>
      <c r="D29" s="6" t="s">
        <v>88</v>
      </c>
      <c r="E29" s="12">
        <v>17.05508968684298</v>
      </c>
      <c r="F29" s="6" t="s">
        <v>84</v>
      </c>
      <c r="G29" s="13">
        <v>17.059999999999999</v>
      </c>
      <c r="H29" s="6" t="s">
        <v>16</v>
      </c>
      <c r="I29" s="13">
        <v>17.059999999999999</v>
      </c>
      <c r="J29" s="6" t="s">
        <v>16</v>
      </c>
      <c r="K29" s="6" t="s">
        <v>89</v>
      </c>
    </row>
    <row r="30" spans="1:11" ht="116.1" customHeight="1">
      <c r="A30" s="6" t="s">
        <v>90</v>
      </c>
      <c r="B30" s="6" t="s">
        <v>16</v>
      </c>
      <c r="C30" s="6" t="s">
        <v>91</v>
      </c>
      <c r="D30" s="6" t="s">
        <v>92</v>
      </c>
      <c r="E30" s="12">
        <v>364.35446774148636</v>
      </c>
      <c r="F30" s="6" t="s">
        <v>84</v>
      </c>
      <c r="G30" s="13">
        <v>364.35</v>
      </c>
      <c r="H30" s="6" t="s">
        <v>16</v>
      </c>
      <c r="I30" s="13">
        <v>364.35</v>
      </c>
      <c r="J30" s="6" t="s">
        <v>16</v>
      </c>
      <c r="K30" s="6" t="s">
        <v>89</v>
      </c>
    </row>
    <row r="31" spans="1:11" ht="116.1" customHeight="1">
      <c r="A31" s="6" t="s">
        <v>93</v>
      </c>
      <c r="B31" s="6" t="s">
        <v>16</v>
      </c>
      <c r="C31" s="6" t="s">
        <v>94</v>
      </c>
      <c r="D31" s="6" t="s">
        <v>95</v>
      </c>
      <c r="E31" s="12">
        <v>364.03831470620781</v>
      </c>
      <c r="F31" s="6" t="s">
        <v>84</v>
      </c>
      <c r="G31" s="13">
        <v>364.04</v>
      </c>
      <c r="H31" s="6" t="s">
        <v>16</v>
      </c>
      <c r="I31" s="13">
        <v>364.04</v>
      </c>
      <c r="J31" s="6" t="s">
        <v>16</v>
      </c>
      <c r="K31" s="6" t="s">
        <v>89</v>
      </c>
    </row>
    <row r="32" spans="1:11" ht="128.1" customHeight="1">
      <c r="A32" s="6" t="s">
        <v>96</v>
      </c>
      <c r="B32" s="6" t="s">
        <v>16</v>
      </c>
      <c r="C32" s="6" t="s">
        <v>97</v>
      </c>
      <c r="D32" s="6" t="s">
        <v>98</v>
      </c>
      <c r="E32" s="12">
        <v>13.607108425991388</v>
      </c>
      <c r="F32" s="6" t="s">
        <v>84</v>
      </c>
      <c r="G32" s="13">
        <v>13.61</v>
      </c>
      <c r="H32" s="6" t="s">
        <v>16</v>
      </c>
      <c r="I32" s="13">
        <v>13.61</v>
      </c>
      <c r="J32" s="6" t="s">
        <v>16</v>
      </c>
      <c r="K32" s="6" t="s">
        <v>89</v>
      </c>
    </row>
    <row r="33" spans="1:11" ht="128.1" customHeight="1">
      <c r="A33" s="6" t="s">
        <v>99</v>
      </c>
      <c r="B33" s="6" t="s">
        <v>16</v>
      </c>
      <c r="C33" s="6" t="s">
        <v>100</v>
      </c>
      <c r="D33" s="6" t="s">
        <v>101</v>
      </c>
      <c r="E33" s="12">
        <v>13.701226131936906</v>
      </c>
      <c r="F33" s="6" t="s">
        <v>84</v>
      </c>
      <c r="G33" s="13">
        <v>13.7</v>
      </c>
      <c r="H33" s="6" t="s">
        <v>16</v>
      </c>
      <c r="I33" s="13">
        <v>13.7</v>
      </c>
      <c r="J33" s="6" t="s">
        <v>16</v>
      </c>
      <c r="K33" s="6" t="s">
        <v>89</v>
      </c>
    </row>
    <row r="34" spans="1:11" ht="128.1" customHeight="1">
      <c r="A34" s="6" t="s">
        <v>102</v>
      </c>
      <c r="B34" s="6" t="s">
        <v>16</v>
      </c>
      <c r="C34" s="6" t="s">
        <v>103</v>
      </c>
      <c r="D34" s="6" t="s">
        <v>104</v>
      </c>
      <c r="E34" s="12">
        <v>2.4729895299621298</v>
      </c>
      <c r="F34" s="6" t="s">
        <v>84</v>
      </c>
      <c r="G34" s="13">
        <v>2.4700000000000002</v>
      </c>
      <c r="H34" s="6" t="s">
        <v>16</v>
      </c>
      <c r="I34" s="13">
        <v>2.4700000000000002</v>
      </c>
      <c r="J34" s="6" t="s">
        <v>16</v>
      </c>
      <c r="K34" s="6" t="s">
        <v>89</v>
      </c>
    </row>
    <row r="35" spans="1:11" ht="128.1" customHeight="1">
      <c r="A35" s="6" t="s">
        <v>105</v>
      </c>
      <c r="B35" s="6" t="s">
        <v>16</v>
      </c>
      <c r="C35" s="6" t="s">
        <v>106</v>
      </c>
      <c r="D35" s="6" t="s">
        <v>107</v>
      </c>
      <c r="E35" s="12">
        <v>2.485960107339475</v>
      </c>
      <c r="F35" s="6" t="s">
        <v>84</v>
      </c>
      <c r="G35" s="13">
        <v>2.4900000000000002</v>
      </c>
      <c r="H35" s="6" t="s">
        <v>16</v>
      </c>
      <c r="I35" s="13">
        <v>2.4900000000000002</v>
      </c>
      <c r="J35" s="6" t="s">
        <v>16</v>
      </c>
      <c r="K35" s="6" t="s">
        <v>89</v>
      </c>
    </row>
    <row r="36" spans="1:11" ht="116.1" customHeight="1">
      <c r="A36" s="6" t="s">
        <v>108</v>
      </c>
      <c r="B36" s="6" t="s">
        <v>16</v>
      </c>
      <c r="C36" s="6" t="s">
        <v>109</v>
      </c>
      <c r="D36" s="6" t="s">
        <v>110</v>
      </c>
      <c r="E36" s="12">
        <v>385.30249373353041</v>
      </c>
      <c r="F36" s="6" t="s">
        <v>84</v>
      </c>
      <c r="G36" s="13">
        <v>385.3</v>
      </c>
      <c r="H36" s="6" t="s">
        <v>16</v>
      </c>
      <c r="I36" s="13">
        <v>385.3</v>
      </c>
      <c r="J36" s="6" t="s">
        <v>16</v>
      </c>
      <c r="K36" s="6" t="s">
        <v>89</v>
      </c>
    </row>
    <row r="37" spans="1:11" ht="116.1" customHeight="1">
      <c r="A37" s="6" t="s">
        <v>111</v>
      </c>
      <c r="B37" s="6" t="s">
        <v>16</v>
      </c>
      <c r="C37" s="6" t="s">
        <v>112</v>
      </c>
      <c r="D37" s="6" t="s">
        <v>113</v>
      </c>
      <c r="E37" s="12">
        <v>385.133597292292</v>
      </c>
      <c r="F37" s="6" t="s">
        <v>84</v>
      </c>
      <c r="G37" s="13">
        <v>385.13</v>
      </c>
      <c r="H37" s="6" t="s">
        <v>16</v>
      </c>
      <c r="I37" s="13">
        <v>385.13</v>
      </c>
      <c r="J37" s="6" t="s">
        <v>16</v>
      </c>
      <c r="K37" s="6" t="s">
        <v>89</v>
      </c>
    </row>
    <row r="38" spans="1:11" ht="116.1" customHeight="1">
      <c r="A38" s="6" t="s">
        <v>114</v>
      </c>
      <c r="B38" s="6" t="s">
        <v>16</v>
      </c>
      <c r="C38" s="6" t="s">
        <v>115</v>
      </c>
      <c r="D38" s="6" t="s">
        <v>116</v>
      </c>
      <c r="E38" s="12">
        <v>3330.5119444444445</v>
      </c>
      <c r="F38" s="6" t="s">
        <v>117</v>
      </c>
      <c r="G38" s="13">
        <v>3330.51</v>
      </c>
      <c r="H38" s="6" t="s">
        <v>16</v>
      </c>
      <c r="I38" s="13">
        <v>3330.51</v>
      </c>
      <c r="J38" s="6" t="s">
        <v>16</v>
      </c>
      <c r="K38" s="6" t="s">
        <v>118</v>
      </c>
    </row>
    <row r="39" spans="1:11" ht="116.1" customHeight="1">
      <c r="A39" s="6" t="s">
        <v>119</v>
      </c>
      <c r="B39" s="6" t="s">
        <v>16</v>
      </c>
      <c r="C39" s="6" t="s">
        <v>120</v>
      </c>
      <c r="D39" s="6" t="s">
        <v>121</v>
      </c>
      <c r="E39" s="12">
        <v>3350.4483333333333</v>
      </c>
      <c r="F39" s="6" t="s">
        <v>117</v>
      </c>
      <c r="G39" s="13">
        <v>3350.45</v>
      </c>
      <c r="H39" s="6" t="s">
        <v>16</v>
      </c>
      <c r="I39" s="13">
        <v>3350.45</v>
      </c>
      <c r="J39" s="6" t="s">
        <v>16</v>
      </c>
      <c r="K39" s="6" t="s">
        <v>118</v>
      </c>
    </row>
    <row r="40" spans="1:11" ht="116.1" customHeight="1">
      <c r="A40" s="6" t="s">
        <v>122</v>
      </c>
      <c r="B40" s="6" t="s">
        <v>16</v>
      </c>
      <c r="C40" s="6" t="s">
        <v>123</v>
      </c>
      <c r="D40" s="6" t="s">
        <v>124</v>
      </c>
      <c r="E40" s="8">
        <v>4795</v>
      </c>
      <c r="F40" s="6" t="s">
        <v>19</v>
      </c>
      <c r="G40" s="9">
        <v>4795</v>
      </c>
      <c r="H40" s="6" t="s">
        <v>16</v>
      </c>
      <c r="I40" s="9">
        <v>4795</v>
      </c>
      <c r="J40" s="6" t="s">
        <v>16</v>
      </c>
      <c r="K40" s="6" t="s">
        <v>20</v>
      </c>
    </row>
    <row r="41" spans="1:11" ht="116.1" customHeight="1">
      <c r="A41" s="6" t="s">
        <v>125</v>
      </c>
      <c r="B41" s="6" t="s">
        <v>16</v>
      </c>
      <c r="C41" s="6" t="s">
        <v>126</v>
      </c>
      <c r="D41" s="6" t="s">
        <v>127</v>
      </c>
      <c r="E41" s="8">
        <v>4830</v>
      </c>
      <c r="F41" s="6" t="s">
        <v>19</v>
      </c>
      <c r="G41" s="9">
        <v>4830</v>
      </c>
      <c r="H41" s="6" t="s">
        <v>16</v>
      </c>
      <c r="I41" s="9">
        <v>4830</v>
      </c>
      <c r="J41" s="6" t="s">
        <v>16</v>
      </c>
      <c r="K41" s="6" t="s">
        <v>20</v>
      </c>
    </row>
    <row r="42" spans="1:11" ht="92.1" customHeight="1">
      <c r="A42" s="6" t="s">
        <v>128</v>
      </c>
      <c r="B42" s="6" t="s">
        <v>16</v>
      </c>
      <c r="C42" s="6" t="s">
        <v>129</v>
      </c>
      <c r="D42" s="6" t="s">
        <v>130</v>
      </c>
      <c r="E42" s="8">
        <v>419</v>
      </c>
      <c r="F42" s="6" t="s">
        <v>19</v>
      </c>
      <c r="G42" s="9">
        <v>419</v>
      </c>
      <c r="H42" s="6" t="s">
        <v>16</v>
      </c>
      <c r="I42" s="9">
        <v>419</v>
      </c>
      <c r="J42" s="6" t="s">
        <v>16</v>
      </c>
      <c r="K42" s="6" t="s">
        <v>20</v>
      </c>
    </row>
    <row r="43" spans="1:11" ht="92.1" customHeight="1">
      <c r="A43" s="6" t="s">
        <v>131</v>
      </c>
      <c r="B43" s="6" t="s">
        <v>16</v>
      </c>
      <c r="C43" s="6" t="s">
        <v>132</v>
      </c>
      <c r="D43" s="6" t="s">
        <v>133</v>
      </c>
      <c r="E43" s="8">
        <v>419</v>
      </c>
      <c r="F43" s="6" t="s">
        <v>19</v>
      </c>
      <c r="G43" s="9">
        <v>419</v>
      </c>
      <c r="H43" s="6" t="s">
        <v>16</v>
      </c>
      <c r="I43" s="9">
        <v>419</v>
      </c>
      <c r="J43" s="6" t="s">
        <v>16</v>
      </c>
      <c r="K43" s="6" t="s">
        <v>20</v>
      </c>
    </row>
    <row r="44" spans="1:11" ht="116.1" customHeight="1">
      <c r="A44" s="6" t="s">
        <v>134</v>
      </c>
      <c r="B44" s="6" t="s">
        <v>16</v>
      </c>
      <c r="C44" s="6" t="s">
        <v>135</v>
      </c>
      <c r="D44" s="6" t="s">
        <v>136</v>
      </c>
      <c r="E44" s="8">
        <v>51</v>
      </c>
      <c r="F44" s="6" t="s">
        <v>137</v>
      </c>
      <c r="G44" s="9">
        <v>51</v>
      </c>
      <c r="H44" s="6" t="s">
        <v>16</v>
      </c>
      <c r="I44" s="9">
        <v>51</v>
      </c>
      <c r="J44" s="6" t="s">
        <v>16</v>
      </c>
      <c r="K44" s="6" t="s">
        <v>20</v>
      </c>
    </row>
    <row r="45" spans="1:11" ht="116.1" customHeight="1">
      <c r="A45" s="6" t="s">
        <v>138</v>
      </c>
      <c r="B45" s="6" t="s">
        <v>16</v>
      </c>
      <c r="C45" s="6" t="s">
        <v>139</v>
      </c>
      <c r="D45" s="6" t="s">
        <v>140</v>
      </c>
      <c r="E45" s="8">
        <v>51</v>
      </c>
      <c r="F45" s="6" t="s">
        <v>137</v>
      </c>
      <c r="G45" s="9">
        <v>51</v>
      </c>
      <c r="H45" s="6" t="s">
        <v>16</v>
      </c>
      <c r="I45" s="9">
        <v>51</v>
      </c>
      <c r="J45" s="6" t="s">
        <v>16</v>
      </c>
      <c r="K45" s="6" t="s">
        <v>20</v>
      </c>
    </row>
    <row r="46" spans="1:11" ht="80.099999999999994" customHeight="1">
      <c r="A46" s="6" t="s">
        <v>141</v>
      </c>
      <c r="B46" s="6" t="s">
        <v>16</v>
      </c>
      <c r="C46" s="6" t="s">
        <v>142</v>
      </c>
      <c r="D46" s="6" t="s">
        <v>143</v>
      </c>
      <c r="E46" s="10">
        <v>-5.4047902071372556E-2</v>
      </c>
      <c r="F46" s="6" t="s">
        <v>57</v>
      </c>
      <c r="G46" s="11">
        <v>-5.3999999999999999E-2</v>
      </c>
      <c r="H46" s="6" t="s">
        <v>16</v>
      </c>
      <c r="I46" s="11">
        <v>-5.3999999999999999E-2</v>
      </c>
      <c r="J46" s="6" t="s">
        <v>16</v>
      </c>
      <c r="K46" s="6" t="s">
        <v>58</v>
      </c>
    </row>
    <row r="47" spans="1:11" ht="80.099999999999994" customHeight="1">
      <c r="A47" s="6" t="s">
        <v>144</v>
      </c>
      <c r="B47" s="6" t="s">
        <v>16</v>
      </c>
      <c r="C47" s="6" t="s">
        <v>145</v>
      </c>
      <c r="D47" s="6" t="s">
        <v>146</v>
      </c>
      <c r="E47" s="10">
        <v>-5.501164333825781E-2</v>
      </c>
      <c r="F47" s="6" t="s">
        <v>57</v>
      </c>
      <c r="G47" s="11">
        <v>-5.5E-2</v>
      </c>
      <c r="H47" s="6" t="s">
        <v>16</v>
      </c>
      <c r="I47" s="11">
        <v>-5.5E-2</v>
      </c>
      <c r="J47" s="6" t="s">
        <v>16</v>
      </c>
      <c r="K47" s="6" t="s">
        <v>58</v>
      </c>
    </row>
    <row r="48" spans="1:11" ht="80.099999999999994" customHeight="1">
      <c r="A48" s="6" t="s">
        <v>147</v>
      </c>
      <c r="B48" s="6" t="s">
        <v>148</v>
      </c>
      <c r="C48" s="6" t="s">
        <v>149</v>
      </c>
      <c r="D48" s="6" t="s">
        <v>150</v>
      </c>
      <c r="E48" s="10">
        <v>-8.8267557223996262E-2</v>
      </c>
      <c r="F48" s="6" t="s">
        <v>57</v>
      </c>
      <c r="G48" s="11">
        <v>8.8300000000000003E-2</v>
      </c>
      <c r="H48" s="6" t="s">
        <v>148</v>
      </c>
      <c r="I48" s="11">
        <v>8.8300000000000003E-2</v>
      </c>
      <c r="J48" s="6" t="s">
        <v>148</v>
      </c>
      <c r="K48" s="6" t="s">
        <v>151</v>
      </c>
    </row>
    <row r="49" spans="1:11" ht="80.099999999999994" customHeight="1">
      <c r="A49" s="6" t="s">
        <v>152</v>
      </c>
      <c r="B49" s="6" t="s">
        <v>81</v>
      </c>
      <c r="C49" s="6" t="s">
        <v>153</v>
      </c>
      <c r="D49" s="6" t="s">
        <v>154</v>
      </c>
      <c r="E49" s="10">
        <v>-8.712689274829466E-2</v>
      </c>
      <c r="F49" s="6" t="s">
        <v>57</v>
      </c>
      <c r="G49" s="14">
        <v>-0.09</v>
      </c>
      <c r="H49" s="6" t="s">
        <v>81</v>
      </c>
      <c r="I49" s="14">
        <v>-0.09</v>
      </c>
      <c r="J49" s="6" t="s">
        <v>81</v>
      </c>
      <c r="K49" s="6" t="s">
        <v>155</v>
      </c>
    </row>
    <row r="50" spans="1:11" ht="80.099999999999994" customHeight="1">
      <c r="A50" s="6" t="s">
        <v>156</v>
      </c>
      <c r="B50" s="6" t="s">
        <v>16</v>
      </c>
      <c r="C50" s="6" t="s">
        <v>157</v>
      </c>
      <c r="D50" s="6" t="s">
        <v>158</v>
      </c>
      <c r="E50" s="15">
        <v>46237</v>
      </c>
      <c r="F50" s="6" t="s">
        <v>159</v>
      </c>
      <c r="G50" s="16">
        <v>46237</v>
      </c>
      <c r="H50" s="6" t="s">
        <v>16</v>
      </c>
      <c r="I50" s="16">
        <v>46237</v>
      </c>
      <c r="J50" s="6" t="s">
        <v>16</v>
      </c>
      <c r="K50" s="6" t="s">
        <v>20</v>
      </c>
    </row>
    <row r="51" spans="1:11" ht="80.099999999999994" customHeight="1">
      <c r="A51" s="6" t="s">
        <v>160</v>
      </c>
      <c r="B51" s="6" t="s">
        <v>16</v>
      </c>
      <c r="C51" s="6" t="s">
        <v>161</v>
      </c>
      <c r="D51" s="6" t="s">
        <v>162</v>
      </c>
      <c r="E51" s="15">
        <v>46237</v>
      </c>
      <c r="F51" s="6" t="s">
        <v>159</v>
      </c>
      <c r="G51" s="16">
        <v>46237</v>
      </c>
      <c r="H51" s="6" t="s">
        <v>16</v>
      </c>
      <c r="I51" s="16">
        <v>46237</v>
      </c>
      <c r="J51" s="6" t="s">
        <v>16</v>
      </c>
      <c r="K51" s="6" t="s">
        <v>20</v>
      </c>
    </row>
    <row r="52" spans="1:11" ht="80.099999999999994" customHeight="1">
      <c r="A52" s="6" t="s">
        <v>163</v>
      </c>
      <c r="B52" s="6" t="s">
        <v>16</v>
      </c>
      <c r="C52" s="6" t="s">
        <v>164</v>
      </c>
      <c r="D52" s="6" t="s">
        <v>165</v>
      </c>
      <c r="E52" s="7" t="s">
        <v>166</v>
      </c>
      <c r="F52" s="6" t="s">
        <v>167</v>
      </c>
      <c r="G52" s="6" t="s">
        <v>168</v>
      </c>
      <c r="H52" s="6" t="s">
        <v>16</v>
      </c>
      <c r="I52" s="6" t="s">
        <v>168</v>
      </c>
      <c r="J52" s="6" t="s">
        <v>16</v>
      </c>
      <c r="K52" s="6" t="s">
        <v>169</v>
      </c>
    </row>
    <row r="53" spans="1:11" ht="80.099999999999994" customHeight="1">
      <c r="A53" s="6" t="s">
        <v>170</v>
      </c>
      <c r="B53" s="6" t="s">
        <v>16</v>
      </c>
      <c r="C53" s="6" t="s">
        <v>171</v>
      </c>
      <c r="D53" s="6" t="s">
        <v>172</v>
      </c>
      <c r="E53" s="7" t="s">
        <v>166</v>
      </c>
      <c r="F53" s="6" t="s">
        <v>167</v>
      </c>
      <c r="G53" s="6" t="s">
        <v>168</v>
      </c>
      <c r="H53" s="6" t="s">
        <v>16</v>
      </c>
      <c r="I53" s="6" t="s">
        <v>168</v>
      </c>
      <c r="J53" s="6" t="s">
        <v>16</v>
      </c>
      <c r="K53" s="6" t="s">
        <v>169</v>
      </c>
    </row>
    <row r="54" spans="1:11" ht="80.099999999999994" customHeight="1">
      <c r="A54" s="6" t="s">
        <v>173</v>
      </c>
      <c r="B54" s="6" t="s">
        <v>16</v>
      </c>
      <c r="C54" s="6" t="s">
        <v>174</v>
      </c>
      <c r="D54" s="6" t="s">
        <v>175</v>
      </c>
      <c r="E54" s="8">
        <v>1094</v>
      </c>
      <c r="F54" s="6" t="s">
        <v>19</v>
      </c>
      <c r="G54" s="9">
        <v>1094</v>
      </c>
      <c r="H54" s="6" t="s">
        <v>16</v>
      </c>
      <c r="I54" s="9">
        <v>1094</v>
      </c>
      <c r="J54" s="6" t="s">
        <v>16</v>
      </c>
      <c r="K54" s="6" t="s">
        <v>20</v>
      </c>
    </row>
    <row r="55" spans="1:11" ht="80.099999999999994" customHeight="1">
      <c r="A55" s="6" t="s">
        <v>176</v>
      </c>
      <c r="B55" s="6" t="s">
        <v>16</v>
      </c>
      <c r="C55" s="6" t="s">
        <v>177</v>
      </c>
      <c r="D55" s="6" t="s">
        <v>178</v>
      </c>
      <c r="E55" s="8">
        <v>1111</v>
      </c>
      <c r="F55" s="6" t="s">
        <v>19</v>
      </c>
      <c r="G55" s="9">
        <v>1111</v>
      </c>
      <c r="H55" s="6" t="s">
        <v>16</v>
      </c>
      <c r="I55" s="9">
        <v>1111</v>
      </c>
      <c r="J55" s="6" t="s">
        <v>16</v>
      </c>
      <c r="K55" s="6" t="s">
        <v>20</v>
      </c>
    </row>
    <row r="56" spans="1:11" ht="80.099999999999994" customHeight="1">
      <c r="A56" s="6" t="s">
        <v>179</v>
      </c>
      <c r="B56" s="6" t="s">
        <v>16</v>
      </c>
      <c r="C56" s="6" t="s">
        <v>180</v>
      </c>
      <c r="D56" s="6" t="s">
        <v>181</v>
      </c>
      <c r="E56" s="8">
        <v>1645</v>
      </c>
      <c r="F56" s="6" t="s">
        <v>19</v>
      </c>
      <c r="G56" s="9">
        <v>1645</v>
      </c>
      <c r="H56" s="6" t="s">
        <v>16</v>
      </c>
      <c r="I56" s="9">
        <v>1645</v>
      </c>
      <c r="J56" s="6" t="s">
        <v>16</v>
      </c>
      <c r="K56" s="6" t="s">
        <v>20</v>
      </c>
    </row>
    <row r="57" spans="1:11" ht="80.099999999999994" customHeight="1">
      <c r="A57" s="6" t="s">
        <v>182</v>
      </c>
      <c r="B57" s="6" t="s">
        <v>16</v>
      </c>
      <c r="C57" s="6" t="s">
        <v>183</v>
      </c>
      <c r="D57" s="6" t="s">
        <v>184</v>
      </c>
      <c r="E57" s="8">
        <v>1657</v>
      </c>
      <c r="F57" s="6" t="s">
        <v>19</v>
      </c>
      <c r="G57" s="9">
        <v>1657</v>
      </c>
      <c r="H57" s="6" t="s">
        <v>16</v>
      </c>
      <c r="I57" s="9">
        <v>1657</v>
      </c>
      <c r="J57" s="6" t="s">
        <v>16</v>
      </c>
      <c r="K57" s="6" t="s">
        <v>20</v>
      </c>
    </row>
    <row r="58" spans="1:11" ht="80.099999999999994" customHeight="1">
      <c r="A58" s="6" t="s">
        <v>185</v>
      </c>
      <c r="B58" s="6" t="s">
        <v>16</v>
      </c>
      <c r="C58" s="6" t="s">
        <v>186</v>
      </c>
      <c r="D58" s="6" t="s">
        <v>187</v>
      </c>
      <c r="E58" s="8">
        <v>0</v>
      </c>
      <c r="F58" s="6" t="s">
        <v>19</v>
      </c>
      <c r="G58" s="9">
        <v>0</v>
      </c>
      <c r="H58" s="6" t="s">
        <v>16</v>
      </c>
      <c r="I58" s="9">
        <v>0</v>
      </c>
      <c r="J58" s="6" t="s">
        <v>16</v>
      </c>
      <c r="K58" s="6" t="s">
        <v>20</v>
      </c>
    </row>
    <row r="59" spans="1:11" ht="80.099999999999994" customHeight="1">
      <c r="A59" s="6" t="s">
        <v>188</v>
      </c>
      <c r="B59" s="6" t="s">
        <v>16</v>
      </c>
      <c r="C59" s="6" t="s">
        <v>189</v>
      </c>
      <c r="D59" s="6" t="s">
        <v>190</v>
      </c>
      <c r="E59" s="8">
        <v>0</v>
      </c>
      <c r="F59" s="6" t="s">
        <v>19</v>
      </c>
      <c r="G59" s="9">
        <v>0</v>
      </c>
      <c r="H59" s="6" t="s">
        <v>16</v>
      </c>
      <c r="I59" s="9">
        <v>0</v>
      </c>
      <c r="J59" s="6" t="s">
        <v>16</v>
      </c>
      <c r="K59" s="6" t="s">
        <v>20</v>
      </c>
    </row>
    <row r="60" spans="1:11" ht="80.099999999999994" customHeight="1">
      <c r="A60" s="6" t="s">
        <v>191</v>
      </c>
      <c r="B60" s="6" t="s">
        <v>16</v>
      </c>
      <c r="C60" s="6" t="s">
        <v>192</v>
      </c>
      <c r="D60" s="6" t="s">
        <v>193</v>
      </c>
      <c r="E60" s="8">
        <v>38540</v>
      </c>
      <c r="F60" s="6" t="s">
        <v>19</v>
      </c>
      <c r="G60" s="9">
        <v>38543</v>
      </c>
      <c r="H60" s="6" t="s">
        <v>148</v>
      </c>
      <c r="I60" s="9">
        <v>38540</v>
      </c>
      <c r="J60" s="6" t="s">
        <v>16</v>
      </c>
      <c r="K60" s="6" t="s">
        <v>194</v>
      </c>
    </row>
    <row r="61" spans="1:11" ht="80.099999999999994" customHeight="1">
      <c r="A61" s="6" t="s">
        <v>195</v>
      </c>
      <c r="B61" s="6" t="s">
        <v>148</v>
      </c>
      <c r="C61" s="6" t="s">
        <v>196</v>
      </c>
      <c r="D61" s="6" t="s">
        <v>197</v>
      </c>
      <c r="E61" s="8">
        <v>38858</v>
      </c>
      <c r="F61" s="6" t="s">
        <v>19</v>
      </c>
      <c r="G61" s="9">
        <v>38861</v>
      </c>
      <c r="H61" s="6" t="s">
        <v>148</v>
      </c>
      <c r="I61" s="9">
        <v>38861</v>
      </c>
      <c r="J61" s="6" t="s">
        <v>148</v>
      </c>
      <c r="K61" s="6" t="s">
        <v>198</v>
      </c>
    </row>
    <row r="62" spans="1:11" ht="80.099999999999994" customHeight="1">
      <c r="A62" s="6" t="s">
        <v>199</v>
      </c>
      <c r="B62" s="6" t="s">
        <v>16</v>
      </c>
      <c r="C62" s="6" t="s">
        <v>200</v>
      </c>
      <c r="D62" s="6" t="s">
        <v>201</v>
      </c>
      <c r="E62" s="7" t="s">
        <v>202</v>
      </c>
      <c r="F62" s="6" t="s">
        <v>203</v>
      </c>
      <c r="G62" s="6" t="s">
        <v>204</v>
      </c>
      <c r="H62" s="6" t="s">
        <v>16</v>
      </c>
      <c r="I62" s="6"/>
      <c r="J62" s="6" t="s">
        <v>205</v>
      </c>
      <c r="K62" s="6" t="s">
        <v>206</v>
      </c>
    </row>
    <row r="63" spans="1:11" ht="80.099999999999994" customHeight="1">
      <c r="A63" s="6" t="s">
        <v>207</v>
      </c>
      <c r="B63" s="6" t="s">
        <v>16</v>
      </c>
      <c r="C63" s="6" t="s">
        <v>208</v>
      </c>
      <c r="D63" s="6" t="s">
        <v>209</v>
      </c>
      <c r="E63" s="7" t="s">
        <v>202</v>
      </c>
      <c r="F63" s="6" t="s">
        <v>203</v>
      </c>
      <c r="G63" s="6" t="s">
        <v>210</v>
      </c>
      <c r="H63" s="6" t="s">
        <v>16</v>
      </c>
      <c r="I63" s="6"/>
      <c r="J63" s="6" t="s">
        <v>205</v>
      </c>
      <c r="K63" s="6" t="s">
        <v>206</v>
      </c>
    </row>
    <row r="64" spans="1:11" ht="80.099999999999994" customHeight="1">
      <c r="A64" s="6" t="s">
        <v>211</v>
      </c>
      <c r="B64" s="6" t="s">
        <v>16</v>
      </c>
      <c r="C64" s="6" t="s">
        <v>212</v>
      </c>
      <c r="D64" s="6" t="s">
        <v>213</v>
      </c>
      <c r="E64" s="8">
        <v>232</v>
      </c>
      <c r="F64" s="6" t="s">
        <v>19</v>
      </c>
      <c r="G64" s="9">
        <v>232</v>
      </c>
      <c r="H64" s="6" t="s">
        <v>16</v>
      </c>
      <c r="I64" s="9">
        <v>232</v>
      </c>
      <c r="J64" s="6" t="s">
        <v>16</v>
      </c>
      <c r="K64" s="6" t="s">
        <v>20</v>
      </c>
    </row>
    <row r="65" spans="1:11" ht="92.1" customHeight="1">
      <c r="A65" s="6" t="s">
        <v>214</v>
      </c>
      <c r="B65" s="6" t="s">
        <v>16</v>
      </c>
      <c r="C65" s="6" t="s">
        <v>215</v>
      </c>
      <c r="D65" s="6" t="s">
        <v>216</v>
      </c>
      <c r="E65" s="8">
        <v>38013</v>
      </c>
      <c r="F65" s="6" t="s">
        <v>19</v>
      </c>
      <c r="G65" s="9">
        <v>38013</v>
      </c>
      <c r="H65" s="6" t="s">
        <v>16</v>
      </c>
      <c r="I65" s="9">
        <v>38013</v>
      </c>
      <c r="J65" s="6" t="s">
        <v>16</v>
      </c>
      <c r="K65" s="6" t="s">
        <v>20</v>
      </c>
    </row>
    <row r="66" spans="1:11" ht="80.099999999999994" customHeight="1">
      <c r="A66" s="6" t="s">
        <v>217</v>
      </c>
      <c r="B66" s="6" t="s">
        <v>16</v>
      </c>
      <c r="C66" s="6" t="s">
        <v>218</v>
      </c>
      <c r="D66" s="6" t="s">
        <v>219</v>
      </c>
      <c r="E66" s="8">
        <v>564</v>
      </c>
      <c r="F66" s="6" t="s">
        <v>19</v>
      </c>
      <c r="G66" s="9">
        <v>564</v>
      </c>
      <c r="H66" s="6" t="s">
        <v>16</v>
      </c>
      <c r="I66" s="9">
        <v>564</v>
      </c>
      <c r="J66" s="6" t="s">
        <v>16</v>
      </c>
      <c r="K66" s="6" t="s">
        <v>20</v>
      </c>
    </row>
    <row r="67" spans="1:11" ht="164.1" customHeight="1">
      <c r="A67" s="6" t="s">
        <v>220</v>
      </c>
      <c r="B67" s="6" t="s">
        <v>16</v>
      </c>
      <c r="C67" s="6" t="s">
        <v>221</v>
      </c>
      <c r="D67" s="6" t="s">
        <v>222</v>
      </c>
      <c r="E67" s="10">
        <v>0.84702549575070818</v>
      </c>
      <c r="F67" s="6" t="s">
        <v>57</v>
      </c>
      <c r="G67" s="11">
        <v>0.84819999999999995</v>
      </c>
      <c r="H67" s="6" t="s">
        <v>148</v>
      </c>
      <c r="I67" s="11">
        <v>0.84699999999999998</v>
      </c>
      <c r="J67" s="6" t="s">
        <v>16</v>
      </c>
      <c r="K67" s="6" t="s">
        <v>223</v>
      </c>
    </row>
    <row r="68" spans="1:11" ht="68.099999999999994" customHeight="1">
      <c r="A68" s="6" t="s">
        <v>224</v>
      </c>
      <c r="B68" s="6" t="s">
        <v>16</v>
      </c>
      <c r="C68" s="6" t="s">
        <v>225</v>
      </c>
      <c r="D68" s="6" t="s">
        <v>226</v>
      </c>
      <c r="E68" s="8">
        <v>126</v>
      </c>
      <c r="F68" s="6" t="s">
        <v>19</v>
      </c>
      <c r="G68" s="9" t="s">
        <v>227</v>
      </c>
      <c r="H68" s="6" t="s">
        <v>148</v>
      </c>
      <c r="I68" s="9">
        <v>126</v>
      </c>
      <c r="J68" s="6" t="s">
        <v>16</v>
      </c>
      <c r="K68" s="6" t="s">
        <v>228</v>
      </c>
    </row>
    <row r="69" spans="1:11" ht="68.099999999999994" customHeight="1">
      <c r="A69" s="6" t="s">
        <v>229</v>
      </c>
      <c r="B69" s="6" t="s">
        <v>16</v>
      </c>
      <c r="C69" s="6" t="s">
        <v>230</v>
      </c>
      <c r="D69" s="6" t="s">
        <v>231</v>
      </c>
      <c r="E69" s="8">
        <v>99</v>
      </c>
      <c r="F69" s="6" t="s">
        <v>19</v>
      </c>
      <c r="G69" s="9">
        <v>99</v>
      </c>
      <c r="H69" s="6" t="s">
        <v>16</v>
      </c>
      <c r="I69" s="9">
        <v>99</v>
      </c>
      <c r="J69" s="6" t="s">
        <v>16</v>
      </c>
      <c r="K69" s="6" t="s">
        <v>20</v>
      </c>
    </row>
    <row r="70" spans="1:11" ht="32.1" customHeight="1">
      <c r="A70" s="6" t="s">
        <v>232</v>
      </c>
      <c r="B70" s="6" t="s">
        <v>16</v>
      </c>
      <c r="C70" s="6" t="s">
        <v>233</v>
      </c>
      <c r="D70" s="6" t="s">
        <v>234</v>
      </c>
      <c r="E70" s="8">
        <v>37722</v>
      </c>
      <c r="F70" s="6" t="s">
        <v>235</v>
      </c>
      <c r="G70" s="9" t="s">
        <v>236</v>
      </c>
      <c r="H70" s="6" t="s">
        <v>148</v>
      </c>
      <c r="I70" s="9">
        <v>37722</v>
      </c>
      <c r="J70" s="6" t="s">
        <v>16</v>
      </c>
      <c r="K70" s="6" t="s">
        <v>228</v>
      </c>
    </row>
    <row r="71" spans="1:11" ht="32.1" customHeight="1">
      <c r="A71" s="6" t="s">
        <v>237</v>
      </c>
      <c r="B71" s="6" t="s">
        <v>16</v>
      </c>
      <c r="C71" s="6" t="s">
        <v>238</v>
      </c>
      <c r="D71" s="6" t="s">
        <v>239</v>
      </c>
      <c r="E71" s="8">
        <v>1</v>
      </c>
      <c r="F71" s="6" t="s">
        <v>240</v>
      </c>
      <c r="G71" s="9">
        <v>1</v>
      </c>
      <c r="H71" s="6" t="s">
        <v>16</v>
      </c>
      <c r="I71" s="9">
        <v>1</v>
      </c>
      <c r="J71" s="6" t="s">
        <v>16</v>
      </c>
      <c r="K71" s="6" t="s">
        <v>20</v>
      </c>
    </row>
    <row r="72" spans="1:11" ht="80.099999999999994" customHeight="1">
      <c r="A72" s="6" t="s">
        <v>241</v>
      </c>
      <c r="B72" s="6" t="s">
        <v>16</v>
      </c>
      <c r="C72" s="6" t="s">
        <v>242</v>
      </c>
      <c r="D72" s="6" t="s">
        <v>243</v>
      </c>
      <c r="E72" s="7" t="s">
        <v>244</v>
      </c>
      <c r="F72" s="6" t="s">
        <v>203</v>
      </c>
      <c r="G72" s="6" t="s">
        <v>245</v>
      </c>
      <c r="H72" s="6" t="s">
        <v>16</v>
      </c>
      <c r="I72" s="6"/>
      <c r="J72" s="6" t="s">
        <v>205</v>
      </c>
      <c r="K72" s="6" t="s">
        <v>246</v>
      </c>
    </row>
    <row r="73" spans="1:11" ht="80.099999999999994" customHeight="1">
      <c r="A73" s="6" t="s">
        <v>247</v>
      </c>
      <c r="B73" s="6" t="s">
        <v>16</v>
      </c>
      <c r="C73" s="6" t="s">
        <v>248</v>
      </c>
      <c r="D73" s="6" t="s">
        <v>249</v>
      </c>
      <c r="E73" s="7" t="s">
        <v>244</v>
      </c>
      <c r="F73" s="6" t="s">
        <v>203</v>
      </c>
      <c r="G73" s="6" t="s">
        <v>250</v>
      </c>
      <c r="H73" s="6" t="s">
        <v>16</v>
      </c>
      <c r="I73" s="6"/>
      <c r="J73" s="6" t="s">
        <v>205</v>
      </c>
      <c r="K73" s="6" t="s">
        <v>246</v>
      </c>
    </row>
  </sheetData>
  <conditionalFormatting sqref="A8:K73">
    <cfRule type="expression" dxfId="13" priority="1">
      <formula>$B8="Non-conformant"</formula>
    </cfRule>
    <cfRule type="expression" dxfId="12" priority="2">
      <formula>$B8="Review recording"</formula>
    </cfRule>
    <cfRule type="expression" dxfId="11" priority="3">
      <formula>$B8="Partially conformant"</formula>
    </cfRule>
  </conditionalFormatting>
  <conditionalFormatting sqref="B8:B73">
    <cfRule type="expression" dxfId="10" priority="4">
      <formula>$B8="Non-conformant"</formula>
    </cfRule>
    <cfRule type="expression" dxfId="9" priority="5">
      <formula>OR($B8="Review recording",$B8="Partially conformant")</formula>
    </cfRule>
  </conditionalFormatting>
  <conditionalFormatting sqref="H8:H73">
    <cfRule type="expression" dxfId="8" priority="6">
      <formula>$H8="Non-conformant"</formula>
    </cfRule>
    <cfRule type="expression" dxfId="7" priority="7">
      <formula>$H8="Not recorded"</formula>
    </cfRule>
  </conditionalFormatting>
  <conditionalFormatting sqref="J8:J73">
    <cfRule type="expression" dxfId="6" priority="8">
      <formula>$J8="Non-conformant"</formula>
    </cfRule>
    <cfRule type="expression" dxfId="5" priority="9">
      <formula>$J8="Not recorded"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71920"/>
  </sheetPr>
  <dimension ref="A1:H31"/>
  <sheetViews>
    <sheetView showGridLines="0" tabSelected="1" zoomScale="90" zoomScaleNormal="90" workbookViewId="0">
      <pane xSplit="2" ySplit="7" topLeftCell="F9" activePane="bottomRight" state="frozen"/>
      <selection pane="topRight"/>
      <selection pane="bottomLeft"/>
      <selection pane="bottomRight" activeCell="H9" sqref="H9"/>
    </sheetView>
  </sheetViews>
  <sheetFormatPr defaultRowHeight="14.25"/>
  <cols>
    <col min="1" max="1" width="9" customWidth="1"/>
    <col min="2" max="2" width="24" customWidth="1"/>
    <col min="3" max="3" width="82" customWidth="1"/>
    <col min="4" max="4" width="94" customWidth="1"/>
    <col min="5" max="5" width="84" customWidth="1"/>
    <col min="6" max="6" width="76" customWidth="1"/>
    <col min="7" max="7" width="108" customWidth="1"/>
    <col min="8" max="8" width="105" customWidth="1"/>
  </cols>
  <sheetData>
    <row r="1" spans="1:8" ht="8.1" customHeight="1">
      <c r="A1" s="1"/>
      <c r="B1" s="1"/>
      <c r="C1" s="1"/>
      <c r="D1" s="1"/>
      <c r="E1" s="1"/>
      <c r="F1" s="1"/>
      <c r="G1" s="1"/>
      <c r="H1" s="1"/>
    </row>
    <row r="2" spans="1:8" ht="26.1" customHeight="1">
      <c r="A2" s="2" t="s">
        <v>251</v>
      </c>
      <c r="B2" s="1"/>
      <c r="C2" s="1"/>
      <c r="D2" s="1"/>
      <c r="E2" s="1"/>
      <c r="F2" s="1"/>
      <c r="G2" s="1"/>
      <c r="H2" s="1"/>
    </row>
    <row r="3" spans="1:8" ht="18.95" customHeight="1">
      <c r="A3" s="1" t="s">
        <v>252</v>
      </c>
      <c r="B3" s="1"/>
      <c r="C3" s="1"/>
      <c r="D3" s="1"/>
      <c r="E3" s="1"/>
      <c r="F3" s="1"/>
      <c r="G3" s="1"/>
      <c r="H3" s="1"/>
    </row>
    <row r="4" spans="1:8" ht="18.95" customHeight="1">
      <c r="A4" s="3" t="s">
        <v>2</v>
      </c>
      <c r="B4" s="1"/>
      <c r="C4" s="1"/>
      <c r="D4" s="1"/>
      <c r="E4" s="1"/>
      <c r="F4" s="1"/>
      <c r="G4" s="1"/>
      <c r="H4" s="1"/>
    </row>
    <row r="5" spans="1:8" ht="18.95" customHeight="1">
      <c r="A5" s="3" t="s">
        <v>253</v>
      </c>
      <c r="B5" s="1"/>
      <c r="C5" s="1"/>
      <c r="D5" s="1"/>
      <c r="E5" s="1"/>
      <c r="F5" s="1"/>
      <c r="G5" s="1"/>
      <c r="H5" s="1"/>
    </row>
    <row r="6" spans="1:8">
      <c r="A6" s="1"/>
      <c r="B6" s="1"/>
      <c r="C6" s="1"/>
      <c r="D6" s="1"/>
      <c r="E6" s="1"/>
      <c r="F6" s="1"/>
      <c r="G6" s="1"/>
      <c r="H6" s="1"/>
    </row>
    <row r="7" spans="1:8" ht="33.950000000000003" customHeight="1">
      <c r="A7" s="4" t="s">
        <v>4</v>
      </c>
      <c r="B7" s="5" t="s">
        <v>254</v>
      </c>
      <c r="C7" s="5" t="s">
        <v>6</v>
      </c>
      <c r="D7" s="5" t="s">
        <v>7</v>
      </c>
      <c r="E7" s="5" t="s">
        <v>255</v>
      </c>
      <c r="F7" s="5" t="s">
        <v>256</v>
      </c>
      <c r="G7" s="5" t="s">
        <v>257</v>
      </c>
      <c r="H7" s="5" t="s">
        <v>14</v>
      </c>
    </row>
    <row r="8" spans="1:8" ht="92.1" customHeight="1">
      <c r="A8" s="6" t="s">
        <v>258</v>
      </c>
      <c r="B8" s="6" t="s">
        <v>259</v>
      </c>
      <c r="C8" s="6" t="s">
        <v>260</v>
      </c>
      <c r="D8" s="6" t="s">
        <v>261</v>
      </c>
      <c r="E8" s="6" t="s">
        <v>262</v>
      </c>
      <c r="F8" s="6" t="s">
        <v>263</v>
      </c>
      <c r="G8" s="6" t="s">
        <v>264</v>
      </c>
      <c r="H8" s="6" t="s">
        <v>265</v>
      </c>
    </row>
    <row r="9" spans="1:8" ht="56.1" customHeight="1">
      <c r="A9" s="6" t="s">
        <v>266</v>
      </c>
      <c r="B9" s="6" t="s">
        <v>148</v>
      </c>
      <c r="C9" s="6" t="s">
        <v>267</v>
      </c>
      <c r="D9" s="6" t="s">
        <v>268</v>
      </c>
      <c r="E9" s="6" t="s">
        <v>262</v>
      </c>
      <c r="F9" s="6" t="s">
        <v>269</v>
      </c>
      <c r="G9" s="6" t="s">
        <v>270</v>
      </c>
      <c r="H9" s="6" t="s">
        <v>271</v>
      </c>
    </row>
    <row r="10" spans="1:8" ht="68.099999999999994" customHeight="1">
      <c r="A10" s="6" t="s">
        <v>272</v>
      </c>
      <c r="B10" s="6" t="s">
        <v>259</v>
      </c>
      <c r="C10" s="6" t="s">
        <v>273</v>
      </c>
      <c r="D10" s="6" t="s">
        <v>274</v>
      </c>
      <c r="E10" s="6" t="s">
        <v>275</v>
      </c>
      <c r="F10" s="6" t="s">
        <v>276</v>
      </c>
      <c r="G10" s="6" t="s">
        <v>277</v>
      </c>
      <c r="H10" s="6" t="s">
        <v>278</v>
      </c>
    </row>
    <row r="11" spans="1:8" ht="68.099999999999994" customHeight="1">
      <c r="A11" s="6" t="s">
        <v>279</v>
      </c>
      <c r="B11" s="6" t="s">
        <v>259</v>
      </c>
      <c r="C11" s="6" t="s">
        <v>280</v>
      </c>
      <c r="D11" s="6" t="s">
        <v>281</v>
      </c>
      <c r="E11" s="6" t="s">
        <v>262</v>
      </c>
      <c r="F11" s="6" t="s">
        <v>282</v>
      </c>
      <c r="G11" s="6" t="s">
        <v>283</v>
      </c>
      <c r="H11" s="6" t="s">
        <v>284</v>
      </c>
    </row>
    <row r="12" spans="1:8" ht="92.1" customHeight="1">
      <c r="A12" s="6" t="s">
        <v>285</v>
      </c>
      <c r="B12" s="6" t="s">
        <v>16</v>
      </c>
      <c r="C12" s="6" t="s">
        <v>286</v>
      </c>
      <c r="D12" s="6" t="s">
        <v>287</v>
      </c>
      <c r="E12" s="6" t="s">
        <v>262</v>
      </c>
      <c r="F12" s="6" t="s">
        <v>288</v>
      </c>
      <c r="G12" s="6" t="s">
        <v>289</v>
      </c>
      <c r="H12" s="6" t="s">
        <v>290</v>
      </c>
    </row>
    <row r="13" spans="1:8" ht="92.1" customHeight="1">
      <c r="A13" s="6" t="s">
        <v>291</v>
      </c>
      <c r="B13" s="6" t="s">
        <v>259</v>
      </c>
      <c r="C13" s="6" t="s">
        <v>292</v>
      </c>
      <c r="D13" s="6" t="s">
        <v>293</v>
      </c>
      <c r="E13" s="6" t="s">
        <v>262</v>
      </c>
      <c r="F13" s="6" t="s">
        <v>294</v>
      </c>
      <c r="G13" s="6" t="s">
        <v>295</v>
      </c>
      <c r="H13" s="6" t="s">
        <v>296</v>
      </c>
    </row>
    <row r="14" spans="1:8" ht="44.1" customHeight="1">
      <c r="A14" s="6" t="s">
        <v>297</v>
      </c>
      <c r="B14" s="6" t="s">
        <v>16</v>
      </c>
      <c r="C14" s="6" t="s">
        <v>298</v>
      </c>
      <c r="D14" s="6" t="s">
        <v>299</v>
      </c>
      <c r="E14" s="6" t="s">
        <v>262</v>
      </c>
      <c r="F14" s="6" t="s">
        <v>300</v>
      </c>
      <c r="G14" s="6" t="s">
        <v>301</v>
      </c>
      <c r="H14" s="6" t="s">
        <v>302</v>
      </c>
    </row>
    <row r="15" spans="1:8" ht="68.099999999999994" customHeight="1">
      <c r="A15" s="6" t="s">
        <v>303</v>
      </c>
      <c r="B15" s="6" t="s">
        <v>16</v>
      </c>
      <c r="C15" s="6" t="s">
        <v>304</v>
      </c>
      <c r="D15" s="6" t="s">
        <v>305</v>
      </c>
      <c r="E15" s="6" t="s">
        <v>262</v>
      </c>
      <c r="F15" s="6" t="s">
        <v>306</v>
      </c>
      <c r="G15" s="6" t="s">
        <v>307</v>
      </c>
      <c r="H15" s="6" t="s">
        <v>308</v>
      </c>
    </row>
    <row r="16" spans="1:8" ht="92.1" customHeight="1">
      <c r="A16" s="6" t="s">
        <v>309</v>
      </c>
      <c r="B16" s="6" t="s">
        <v>148</v>
      </c>
      <c r="C16" s="6" t="s">
        <v>310</v>
      </c>
      <c r="D16" s="6" t="s">
        <v>311</v>
      </c>
      <c r="E16" s="6" t="s">
        <v>262</v>
      </c>
      <c r="F16" s="6" t="s">
        <v>312</v>
      </c>
      <c r="G16" s="6" t="s">
        <v>313</v>
      </c>
      <c r="H16" s="6" t="s">
        <v>314</v>
      </c>
    </row>
    <row r="17" spans="1:8" ht="56.1" customHeight="1">
      <c r="A17" s="6" t="s">
        <v>315</v>
      </c>
      <c r="B17" s="6" t="s">
        <v>148</v>
      </c>
      <c r="C17" s="6" t="s">
        <v>316</v>
      </c>
      <c r="D17" s="6" t="s">
        <v>317</v>
      </c>
      <c r="E17" s="6" t="s">
        <v>318</v>
      </c>
      <c r="F17" s="6" t="s">
        <v>319</v>
      </c>
      <c r="G17" s="6" t="s">
        <v>320</v>
      </c>
      <c r="H17" s="6" t="s">
        <v>321</v>
      </c>
    </row>
    <row r="18" spans="1:8" ht="44.1" customHeight="1">
      <c r="A18" s="6" t="s">
        <v>322</v>
      </c>
      <c r="B18" s="6" t="s">
        <v>148</v>
      </c>
      <c r="C18" s="6" t="s">
        <v>323</v>
      </c>
      <c r="D18" s="6" t="s">
        <v>324</v>
      </c>
      <c r="E18" s="6" t="s">
        <v>325</v>
      </c>
      <c r="F18" s="6" t="s">
        <v>326</v>
      </c>
      <c r="G18" s="6" t="s">
        <v>327</v>
      </c>
      <c r="H18" s="6" t="s">
        <v>328</v>
      </c>
    </row>
    <row r="19" spans="1:8" ht="56.1" customHeight="1">
      <c r="A19" s="6" t="s">
        <v>329</v>
      </c>
      <c r="B19" s="6" t="s">
        <v>16</v>
      </c>
      <c r="C19" s="6" t="s">
        <v>330</v>
      </c>
      <c r="D19" s="6" t="s">
        <v>331</v>
      </c>
      <c r="E19" s="6" t="s">
        <v>332</v>
      </c>
      <c r="F19" s="6" t="s">
        <v>306</v>
      </c>
      <c r="G19" s="6" t="s">
        <v>333</v>
      </c>
      <c r="H19" s="6" t="s">
        <v>334</v>
      </c>
    </row>
    <row r="20" spans="1:8" ht="44.1" customHeight="1">
      <c r="A20" s="6" t="s">
        <v>335</v>
      </c>
      <c r="B20" s="6" t="s">
        <v>16</v>
      </c>
      <c r="C20" s="6" t="s">
        <v>336</v>
      </c>
      <c r="D20" s="6" t="s">
        <v>337</v>
      </c>
      <c r="E20" s="6" t="s">
        <v>338</v>
      </c>
      <c r="F20" s="6" t="s">
        <v>339</v>
      </c>
      <c r="G20" s="6" t="s">
        <v>340</v>
      </c>
      <c r="H20" s="6" t="s">
        <v>341</v>
      </c>
    </row>
    <row r="21" spans="1:8" ht="68.099999999999994" customHeight="1">
      <c r="A21" s="6" t="s">
        <v>342</v>
      </c>
      <c r="B21" s="6" t="s">
        <v>148</v>
      </c>
      <c r="C21" s="6" t="s">
        <v>343</v>
      </c>
      <c r="D21" s="6" t="s">
        <v>344</v>
      </c>
      <c r="E21" s="6" t="s">
        <v>262</v>
      </c>
      <c r="F21" s="6" t="s">
        <v>345</v>
      </c>
      <c r="G21" s="6" t="s">
        <v>346</v>
      </c>
      <c r="H21" s="6" t="s">
        <v>347</v>
      </c>
    </row>
    <row r="22" spans="1:8" ht="92.1" customHeight="1">
      <c r="A22" s="6" t="s">
        <v>348</v>
      </c>
      <c r="B22" s="6" t="s">
        <v>16</v>
      </c>
      <c r="C22" s="6" t="s">
        <v>349</v>
      </c>
      <c r="D22" s="6" t="s">
        <v>350</v>
      </c>
      <c r="E22" s="6" t="s">
        <v>262</v>
      </c>
      <c r="F22" s="6" t="s">
        <v>351</v>
      </c>
      <c r="G22" s="6" t="s">
        <v>352</v>
      </c>
      <c r="H22" s="6" t="s">
        <v>353</v>
      </c>
    </row>
    <row r="23" spans="1:8" ht="80.099999999999994" customHeight="1">
      <c r="A23" s="6" t="s">
        <v>354</v>
      </c>
      <c r="B23" s="6" t="s">
        <v>148</v>
      </c>
      <c r="C23" s="6" t="s">
        <v>355</v>
      </c>
      <c r="D23" s="6" t="s">
        <v>356</v>
      </c>
      <c r="E23" s="6" t="s">
        <v>262</v>
      </c>
      <c r="F23" s="6" t="s">
        <v>357</v>
      </c>
      <c r="G23" s="6" t="s">
        <v>358</v>
      </c>
      <c r="H23" s="6" t="s">
        <v>359</v>
      </c>
    </row>
    <row r="24" spans="1:8" ht="68.099999999999994" customHeight="1">
      <c r="A24" s="6" t="s">
        <v>360</v>
      </c>
      <c r="B24" s="6" t="s">
        <v>16</v>
      </c>
      <c r="C24" s="6" t="s">
        <v>361</v>
      </c>
      <c r="D24" s="6" t="s">
        <v>362</v>
      </c>
      <c r="E24" s="6" t="s">
        <v>363</v>
      </c>
      <c r="F24" s="6" t="s">
        <v>364</v>
      </c>
      <c r="G24" s="6" t="s">
        <v>365</v>
      </c>
      <c r="H24" s="6" t="s">
        <v>366</v>
      </c>
    </row>
    <row r="25" spans="1:8" ht="32.1" customHeight="1">
      <c r="A25" s="6" t="s">
        <v>367</v>
      </c>
      <c r="B25" s="6" t="s">
        <v>148</v>
      </c>
      <c r="C25" s="6" t="s">
        <v>368</v>
      </c>
      <c r="D25" s="6" t="s">
        <v>369</v>
      </c>
      <c r="E25" s="6" t="s">
        <v>370</v>
      </c>
      <c r="F25" s="6" t="s">
        <v>371</v>
      </c>
      <c r="G25" s="6" t="s">
        <v>372</v>
      </c>
      <c r="H25" s="6" t="s">
        <v>373</v>
      </c>
    </row>
    <row r="26" spans="1:8" ht="32.1" customHeight="1">
      <c r="A26" s="6" t="s">
        <v>374</v>
      </c>
      <c r="B26" s="6" t="s">
        <v>148</v>
      </c>
      <c r="C26" s="6" t="s">
        <v>375</v>
      </c>
      <c r="D26" s="6" t="s">
        <v>376</v>
      </c>
      <c r="E26" s="6" t="s">
        <v>377</v>
      </c>
      <c r="F26" s="6" t="s">
        <v>378</v>
      </c>
      <c r="G26" s="6" t="s">
        <v>372</v>
      </c>
      <c r="H26" s="6" t="s">
        <v>379</v>
      </c>
    </row>
    <row r="27" spans="1:8" ht="92.1" customHeight="1">
      <c r="A27" s="6" t="s">
        <v>380</v>
      </c>
      <c r="B27" s="6" t="s">
        <v>16</v>
      </c>
      <c r="C27" s="6" t="s">
        <v>381</v>
      </c>
      <c r="D27" s="6" t="s">
        <v>382</v>
      </c>
      <c r="E27" s="6" t="s">
        <v>262</v>
      </c>
      <c r="F27" s="6" t="s">
        <v>383</v>
      </c>
      <c r="G27" s="6" t="s">
        <v>384</v>
      </c>
      <c r="H27" s="6" t="s">
        <v>385</v>
      </c>
    </row>
    <row r="28" spans="1:8" ht="68.099999999999994" customHeight="1">
      <c r="A28" s="6" t="s">
        <v>386</v>
      </c>
      <c r="B28" s="6" t="s">
        <v>16</v>
      </c>
      <c r="C28" s="6" t="s">
        <v>387</v>
      </c>
      <c r="D28" s="6" t="s">
        <v>388</v>
      </c>
      <c r="E28" s="6" t="s">
        <v>262</v>
      </c>
      <c r="F28" s="6" t="s">
        <v>389</v>
      </c>
      <c r="G28" s="6" t="s">
        <v>390</v>
      </c>
      <c r="H28" s="6" t="s">
        <v>391</v>
      </c>
    </row>
    <row r="29" spans="1:8" ht="80.099999999999994" customHeight="1">
      <c r="A29" s="6" t="s">
        <v>392</v>
      </c>
      <c r="B29" s="6" t="s">
        <v>148</v>
      </c>
      <c r="C29" s="6" t="s">
        <v>393</v>
      </c>
      <c r="D29" s="6" t="s">
        <v>394</v>
      </c>
      <c r="E29" s="6" t="s">
        <v>262</v>
      </c>
      <c r="F29" s="6" t="s">
        <v>395</v>
      </c>
      <c r="G29" s="6" t="s">
        <v>396</v>
      </c>
      <c r="H29" s="6" t="s">
        <v>397</v>
      </c>
    </row>
    <row r="30" spans="1:8" ht="104.1" customHeight="1">
      <c r="A30" s="6" t="s">
        <v>398</v>
      </c>
      <c r="B30" s="6" t="s">
        <v>16</v>
      </c>
      <c r="C30" s="6" t="s">
        <v>399</v>
      </c>
      <c r="D30" s="6" t="s">
        <v>400</v>
      </c>
      <c r="E30" s="6" t="s">
        <v>262</v>
      </c>
      <c r="F30" s="6" t="s">
        <v>401</v>
      </c>
      <c r="G30" s="6" t="s">
        <v>402</v>
      </c>
      <c r="H30" s="6" t="s">
        <v>403</v>
      </c>
    </row>
    <row r="31" spans="1:8" ht="44.1" customHeight="1">
      <c r="A31" s="6" t="s">
        <v>404</v>
      </c>
      <c r="B31" s="6" t="s">
        <v>148</v>
      </c>
      <c r="C31" s="6" t="s">
        <v>405</v>
      </c>
      <c r="D31" s="6" t="s">
        <v>406</v>
      </c>
      <c r="E31" s="6" t="s">
        <v>407</v>
      </c>
      <c r="F31" s="6" t="s">
        <v>408</v>
      </c>
      <c r="G31" s="6" t="s">
        <v>409</v>
      </c>
      <c r="H31" s="6" t="s">
        <v>410</v>
      </c>
    </row>
  </sheetData>
  <conditionalFormatting sqref="A8:H31">
    <cfRule type="expression" dxfId="4" priority="1">
      <formula>$B8="Non-conformant"</formula>
    </cfRule>
    <cfRule type="expression" dxfId="3" priority="2">
      <formula>$B8="Review recording"</formula>
    </cfRule>
    <cfRule type="expression" dxfId="2" priority="3">
      <formula>$B8="Partially conformant"</formula>
    </cfRule>
  </conditionalFormatting>
  <conditionalFormatting sqref="B8:B31">
    <cfRule type="expression" dxfId="1" priority="4">
      <formula>$B8="Non-conformant"</formula>
    </cfRule>
    <cfRule type="expression" dxfId="0" priority="5">
      <formula>OR($B8="Review recording",$B8="Partially conformant")</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Stress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Tavares</cp:lastModifiedBy>
  <dcterms:modified xsi:type="dcterms:W3CDTF">2026-10-20T16:09:38Z</dcterms:modified>
</cp:coreProperties>
</file>