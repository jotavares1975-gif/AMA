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edicareportugal-my.sharepoint.com/personal/jorge_tavares_medicare_pt/Documents/Desktop/IMPORTANTE/APRESENTACOES IMPORTANTES/AMA/Testes/"/>
    </mc:Choice>
  </mc:AlternateContent>
  <xr:revisionPtr revIDLastSave="288" documentId="11_EAC41170D0CD542F9F857AEB30C72B0467FE27E1" xr6:coauthVersionLast="47" xr6:coauthVersionMax="47" xr10:uidLastSave="{46AD18EB-254A-4CD3-B400-27CC718C0E98}"/>
  <bookViews>
    <workbookView minimized="1" xWindow="7800" yWindow="2745" windowWidth="18180" windowHeight="14220" activeTab="3" xr2:uid="{00000000-000D-0000-FFFF-FFFF00000000}"/>
  </bookViews>
  <sheets>
    <sheet name="Perguntas" sheetId="1" r:id="rId1"/>
    <sheet name="Cálculos" sheetId="2" r:id="rId2"/>
    <sheet name="Regras e fonte" sheetId="3" r:id="rId3"/>
    <sheet name="Stress" sheetId="4" r:id="rId4"/>
    <sheet name="Auditoria fila"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5" l="1"/>
  <c r="D38" i="5"/>
  <c r="F38" i="5" s="1"/>
  <c r="G37" i="5"/>
  <c r="D37" i="5"/>
  <c r="F37" i="5" s="1"/>
  <c r="G36" i="5"/>
  <c r="D36" i="5"/>
  <c r="F36" i="5" s="1"/>
  <c r="B12" i="5"/>
  <c r="B9" i="5" s="1"/>
  <c r="B11" i="5" s="1"/>
  <c r="B10" i="5"/>
  <c r="B8" i="5"/>
  <c r="F33" i="2"/>
  <c r="D33" i="2"/>
  <c r="C33" i="2"/>
  <c r="E33" i="2" s="1"/>
  <c r="D32" i="2"/>
  <c r="F32" i="2" s="1"/>
  <c r="H47" i="1" s="1"/>
  <c r="C32" i="2"/>
  <c r="E32" i="2" s="1"/>
  <c r="D31" i="2"/>
  <c r="F31" i="2" s="1"/>
  <c r="H46" i="1" s="1"/>
  <c r="C31" i="2"/>
  <c r="E31" i="2" s="1"/>
  <c r="F30" i="2"/>
  <c r="H45" i="1" s="1"/>
  <c r="E30" i="2"/>
  <c r="D30" i="2"/>
  <c r="C30" i="2"/>
  <c r="AI25" i="2"/>
  <c r="AF25" i="2"/>
  <c r="AE25" i="2"/>
  <c r="AG25" i="2" s="1"/>
  <c r="Z25" i="2"/>
  <c r="W25" i="2"/>
  <c r="T25" i="2"/>
  <c r="Q25" i="2"/>
  <c r="O25" i="2"/>
  <c r="K25" i="2"/>
  <c r="J25" i="2"/>
  <c r="AJ25" i="2" s="1"/>
  <c r="AJ24" i="2"/>
  <c r="AI24" i="2"/>
  <c r="AG24" i="2"/>
  <c r="AE24" i="2"/>
  <c r="AF24" i="2" s="1"/>
  <c r="Z24" i="2"/>
  <c r="W24" i="2"/>
  <c r="T24" i="2"/>
  <c r="Q24" i="2"/>
  <c r="O24" i="2"/>
  <c r="K24" i="2"/>
  <c r="J24" i="2"/>
  <c r="AH24" i="2" s="1"/>
  <c r="AJ23" i="2"/>
  <c r="AI23" i="2"/>
  <c r="AH23" i="2"/>
  <c r="AG23" i="2"/>
  <c r="AF23" i="2"/>
  <c r="AE23" i="2"/>
  <c r="Z23" i="2"/>
  <c r="W23" i="2"/>
  <c r="T23" i="2"/>
  <c r="Q23" i="2"/>
  <c r="O23" i="2"/>
  <c r="K23" i="2"/>
  <c r="J23" i="2"/>
  <c r="AJ22" i="2"/>
  <c r="AI22" i="2"/>
  <c r="AH22" i="2"/>
  <c r="AE22" i="2"/>
  <c r="AF22" i="2" s="1"/>
  <c r="Z22" i="2"/>
  <c r="W22" i="2"/>
  <c r="T22" i="2"/>
  <c r="Q22" i="2"/>
  <c r="O22" i="2"/>
  <c r="K22" i="2"/>
  <c r="J22" i="2"/>
  <c r="AI21" i="2"/>
  <c r="AH21" i="2"/>
  <c r="AF21" i="2"/>
  <c r="AE21" i="2"/>
  <c r="AG21" i="2" s="1"/>
  <c r="Z21" i="2"/>
  <c r="W21" i="2"/>
  <c r="T21" i="2"/>
  <c r="Q21" i="2"/>
  <c r="O21" i="2"/>
  <c r="K21" i="2"/>
  <c r="J21" i="2"/>
  <c r="AJ21" i="2" s="1"/>
  <c r="AI20" i="2"/>
  <c r="AE20" i="2"/>
  <c r="AG20" i="2" s="1"/>
  <c r="Z20" i="2"/>
  <c r="W20" i="2"/>
  <c r="T20" i="2"/>
  <c r="Q20" i="2"/>
  <c r="O20" i="2"/>
  <c r="K20" i="2"/>
  <c r="J20" i="2"/>
  <c r="AJ20" i="2" s="1"/>
  <c r="AI19" i="2"/>
  <c r="AE19" i="2"/>
  <c r="AG19" i="2" s="1"/>
  <c r="Z19" i="2"/>
  <c r="W19" i="2"/>
  <c r="T19" i="2"/>
  <c r="Q19" i="2"/>
  <c r="O19" i="2"/>
  <c r="K19" i="2"/>
  <c r="J19" i="2"/>
  <c r="AJ19" i="2" s="1"/>
  <c r="AJ18" i="2"/>
  <c r="AI18" i="2"/>
  <c r="AH18" i="2"/>
  <c r="AG18" i="2"/>
  <c r="AF18" i="2"/>
  <c r="AE18" i="2"/>
  <c r="Z18" i="2"/>
  <c r="W18" i="2"/>
  <c r="T18" i="2"/>
  <c r="Q18" i="2"/>
  <c r="O18" i="2"/>
  <c r="K18" i="2"/>
  <c r="J18" i="2"/>
  <c r="AJ17" i="2"/>
  <c r="H24" i="1" s="1"/>
  <c r="AI17" i="2"/>
  <c r="H22" i="1" s="1"/>
  <c r="AH17" i="2"/>
  <c r="AF17" i="2"/>
  <c r="H36" i="1" s="1"/>
  <c r="AE17" i="2"/>
  <c r="AG17" i="2" s="1"/>
  <c r="H38" i="1" s="1"/>
  <c r="Z17" i="2"/>
  <c r="W17" i="2"/>
  <c r="T17" i="2"/>
  <c r="Q17" i="2"/>
  <c r="O17" i="2"/>
  <c r="K17" i="2"/>
  <c r="J17" i="2"/>
  <c r="AI16" i="2"/>
  <c r="AH16" i="2"/>
  <c r="AE16" i="2"/>
  <c r="AG16" i="2" s="1"/>
  <c r="Z16" i="2"/>
  <c r="W16" i="2"/>
  <c r="T16" i="2"/>
  <c r="Q16" i="2"/>
  <c r="O16" i="2"/>
  <c r="K16" i="2"/>
  <c r="AJ16" i="2" s="1"/>
  <c r="J16" i="2"/>
  <c r="AI15" i="2"/>
  <c r="AE15" i="2"/>
  <c r="AG15" i="2" s="1"/>
  <c r="Z15" i="2"/>
  <c r="W15" i="2"/>
  <c r="T15" i="2"/>
  <c r="Q15" i="2"/>
  <c r="O15" i="2"/>
  <c r="K15" i="2"/>
  <c r="J15" i="2"/>
  <c r="AJ15" i="2" s="1"/>
  <c r="AI14" i="2"/>
  <c r="AF14" i="2"/>
  <c r="AE14" i="2"/>
  <c r="AG14" i="2" s="1"/>
  <c r="Z14" i="2"/>
  <c r="W14" i="2"/>
  <c r="T14" i="2"/>
  <c r="Q14" i="2"/>
  <c r="O14" i="2"/>
  <c r="K14" i="2"/>
  <c r="J14" i="2"/>
  <c r="AJ14" i="2" s="1"/>
  <c r="AJ13" i="2"/>
  <c r="AI13" i="2"/>
  <c r="AG13" i="2"/>
  <c r="AF13" i="2"/>
  <c r="AE13" i="2"/>
  <c r="Z13" i="2"/>
  <c r="W13" i="2"/>
  <c r="T13" i="2"/>
  <c r="Q13" i="2"/>
  <c r="O13" i="2"/>
  <c r="K13" i="2"/>
  <c r="J13" i="2"/>
  <c r="AH13" i="2" s="1"/>
  <c r="AJ12" i="2"/>
  <c r="AI12" i="2"/>
  <c r="AH12" i="2"/>
  <c r="AG12" i="2"/>
  <c r="AF12" i="2"/>
  <c r="AE12" i="2"/>
  <c r="Z12" i="2"/>
  <c r="W12" i="2"/>
  <c r="T12" i="2"/>
  <c r="Q12" i="2"/>
  <c r="O12" i="2"/>
  <c r="K12" i="2"/>
  <c r="J12" i="2"/>
  <c r="AJ11" i="2"/>
  <c r="AI11" i="2"/>
  <c r="AH11" i="2"/>
  <c r="AE11" i="2"/>
  <c r="AF11" i="2" s="1"/>
  <c r="Z11" i="2"/>
  <c r="W11" i="2"/>
  <c r="T11" i="2"/>
  <c r="Q11" i="2"/>
  <c r="O11" i="2"/>
  <c r="K11" i="2"/>
  <c r="J11" i="2"/>
  <c r="AI10" i="2"/>
  <c r="AE10" i="2"/>
  <c r="AG10" i="2" s="1"/>
  <c r="H37" i="1" s="1"/>
  <c r="Z10" i="2"/>
  <c r="W10" i="2"/>
  <c r="H31" i="1" s="1"/>
  <c r="T10" i="2"/>
  <c r="H29" i="1" s="1"/>
  <c r="Q10" i="2"/>
  <c r="H27" i="1" s="1"/>
  <c r="O10" i="2"/>
  <c r="H25" i="1" s="1"/>
  <c r="K10" i="2"/>
  <c r="J10" i="2"/>
  <c r="AJ10" i="2" s="1"/>
  <c r="H23" i="1" s="1"/>
  <c r="AI9" i="2"/>
  <c r="AE9" i="2"/>
  <c r="AG9" i="2" s="1"/>
  <c r="Z9" i="2"/>
  <c r="W9" i="2"/>
  <c r="T9" i="2"/>
  <c r="Q9" i="2"/>
  <c r="O9" i="2"/>
  <c r="K9" i="2"/>
  <c r="J9" i="2"/>
  <c r="AJ9" i="2" s="1"/>
  <c r="AJ8" i="2"/>
  <c r="AI8" i="2"/>
  <c r="AG8" i="2"/>
  <c r="AE8" i="2"/>
  <c r="AF8" i="2" s="1"/>
  <c r="Z8" i="2"/>
  <c r="W8" i="2"/>
  <c r="T8" i="2"/>
  <c r="Q8" i="2"/>
  <c r="O8" i="2"/>
  <c r="K8" i="2"/>
  <c r="J8" i="2"/>
  <c r="AH8" i="2" s="1"/>
  <c r="H70" i="1"/>
  <c r="H69" i="1"/>
  <c r="H68" i="1"/>
  <c r="H67" i="1"/>
  <c r="H66" i="1"/>
  <c r="H65" i="1"/>
  <c r="H64" i="1"/>
  <c r="H63" i="1"/>
  <c r="H60" i="1"/>
  <c r="H59" i="1"/>
  <c r="H58" i="1"/>
  <c r="H57" i="1"/>
  <c r="H56" i="1"/>
  <c r="H55" i="1"/>
  <c r="H54" i="1"/>
  <c r="H53" i="1"/>
  <c r="H52" i="1"/>
  <c r="H51" i="1"/>
  <c r="H50" i="1"/>
  <c r="H49" i="1"/>
  <c r="H48" i="1"/>
  <c r="H44" i="1"/>
  <c r="H43" i="1"/>
  <c r="H42" i="1"/>
  <c r="H41" i="1"/>
  <c r="H40" i="1"/>
  <c r="H39" i="1"/>
  <c r="H34" i="1"/>
  <c r="H33" i="1"/>
  <c r="H32" i="1"/>
  <c r="H30" i="1"/>
  <c r="H28" i="1"/>
  <c r="H26" i="1"/>
  <c r="H21" i="1"/>
  <c r="H20" i="1"/>
  <c r="H18" i="1"/>
  <c r="H17" i="1"/>
  <c r="H16" i="1"/>
  <c r="H15" i="1"/>
  <c r="H14" i="1"/>
  <c r="H13" i="1"/>
  <c r="H12" i="1"/>
  <c r="H11" i="1"/>
  <c r="H10" i="1"/>
  <c r="H8" i="1"/>
  <c r="H7" i="1"/>
  <c r="AG22" i="2" l="1"/>
  <c r="AG11" i="2"/>
  <c r="AF10" i="2"/>
  <c r="H35" i="1" s="1"/>
  <c r="AF15" i="2"/>
  <c r="H9" i="1"/>
  <c r="AH10" i="2"/>
  <c r="H19" i="1" s="1"/>
  <c r="AF20" i="2"/>
  <c r="AF9" i="2"/>
  <c r="AH15" i="2"/>
  <c r="AH20" i="2"/>
  <c r="AH9" i="2"/>
  <c r="AF19" i="2"/>
  <c r="AH25" i="2"/>
  <c r="AH14" i="2"/>
  <c r="AF16" i="2"/>
  <c r="AH19" i="2"/>
</calcChain>
</file>

<file path=xl/sharedStrings.xml><?xml version="1.0" encoding="utf-8"?>
<sst xmlns="http://schemas.openxmlformats.org/spreadsheetml/2006/main" count="1226" uniqueCount="872">
  <si>
    <t>AMA — Perguntas de teste de Contact Center</t>
  </si>
  <si>
    <t>66 pedidos em PT/EN e 24 testes de stress. Recebidas pela fila; atendimento identificado separadamente.</t>
  </si>
  <si>
    <t>Enviar apenas o pedido PT ou EN. Os critérios técnicos definem a população e o cálculo próprios de cada indicador.</t>
  </si>
  <si>
    <t>ID</t>
  </si>
  <si>
    <t>Tema</t>
  </si>
  <si>
    <t>Âmbito</t>
  </si>
  <si>
    <t>Pergunta (PT)</t>
  </si>
  <si>
    <t>Pergunta (EN)</t>
  </si>
  <si>
    <t>Critérios de validação (PT)</t>
  </si>
  <si>
    <t>Validation criteria (EN)</t>
  </si>
  <si>
    <t>Valor de resposta esperado</t>
  </si>
  <si>
    <t>Unidade</t>
  </si>
  <si>
    <t>Q01</t>
  </si>
  <si>
    <t>Volume</t>
  </si>
  <si>
    <t>Uma fila</t>
  </si>
  <si>
    <t>Para a fila «[SAC] INB MEDICARE», em agosto de 2026, apresenta o total bruto de chamadas recebidas, considerando apenas entradas de segunda a sexta-feira, a partir das 08h00 e antes das 20h00, hora de Lisboa, excluindo feriados nacionais.</t>
  </si>
  <si>
    <t>For queue "[SAC] INB MEDICARE", in August 2026, report the gross total of received calls,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</si>
  <si>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Volume bruto = número de sessões; incluir abandonos curtos.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</si>
  <si>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Gross volume = session count, including all short abandons.</t>
  </si>
  <si>
    <t>chamadas</t>
  </si>
  <si>
    <t>Q02</t>
  </si>
  <si>
    <t>Várias filas</t>
  </si>
  <si>
    <t>Para o conjunto das filas «[SAC] INB MEDICARE» e «[SAC] - ENG», em agosto de 2026, apresenta o total bruto de chamadas recebidas, considerando apenas entradas de segunda a sexta-feira, a partir das 08h00 e antes das 20h00, hora de Lisboa, excluindo feriados nacionais.</t>
  </si>
  <si>
    <t>For queues "[SAC] INB MEDICARE" and "[SAC] - ENG", in August 2026, report the gross total of received calls,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</si>
  <si>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Volume bruto = número de sessões; incluir abandonos curtos.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</si>
  <si>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Gross volume = session count, including all short abandons.</t>
  </si>
  <si>
    <t>Q03</t>
  </si>
  <si>
    <t>Para a fila «[SAC] INB MEDICARE», em agosto de 2026, apresenta o total de chamadas recebidas, excluindo apenas as que nunca foram atendidas e acumularam menos de 30 segundos de espera, considerando apenas entradas de segunda a sexta-feira, a partir das 08h00 e antes das 20h00, hora de Lisboa, excluindo feriados nacionais.</t>
  </si>
  <si>
    <t>For queue "[SAC] INB MEDICARE", in August 2026, report the total of received calls after excluding only never-answered calls with less than 30 seconds of accumulated waiting time,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</si>
  <si>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Recebidas ajustadas = brutas menos sessões não atendidas com espera &lt;30 s; manter todas as atendidas.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</si>
  <si>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Adjusted received calls = gross sessions minus unanswered sessions with waiting time &lt;30 s. Retain every answered session.</t>
  </si>
  <si>
    <t>Q04</t>
  </si>
  <si>
    <t>Para o conjunto das filas «[SAC] INB MEDICARE» e «[SAC] - ENG», em agosto de 2026, apresenta o total de chamadas recebidas, excluindo apenas as que nunca foram atendidas e acumularam menos de 30 segundos de espera, considerando apenas entradas de segunda a sexta-feira, a partir das 08h00 e antes das 20h00, hora de Lisboa, excluindo feriados nacionais.</t>
  </si>
  <si>
    <t>For queues "[SAC] INB MEDICARE" and "[SAC] - ENG", in August 2026, report the total of received calls after excluding only never-answered calls with less than 30 seconds of accumulated waiting time,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</si>
  <si>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Recebidas ajustadas = brutas menos sessões não atendidas com espera &lt;30 s; manter todas as atendidas.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</si>
  <si>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Adjusted received calls = gross sessions minus unanswered sessions with waiting time &lt;30 s. Retain every answered session.</t>
  </si>
  <si>
    <t>Q05</t>
  </si>
  <si>
    <t>Atendimento</t>
  </si>
  <si>
    <t>Para a fila «[SAC] INB MEDICARE», em agosto de 2026, apresenta o total de chamadas atendidas, considerando apenas entradas de segunda a sexta-feira, a partir das 08h00 e antes das 20h00, hora de Lisboa, excluindo feriados nacionais.</t>
  </si>
  <si>
    <t>For queue "[SAC] INB MEDICARE", in August 2026, report the total of answered calls,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</si>
  <si>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Contar sessões atendidas, uma vez por SessionID.</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</si>
  <si>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answered sessions once per SessionID.</t>
  </si>
  <si>
    <t>Q06</t>
  </si>
  <si>
    <t>Para o conjunto das filas «[SAC] INB MEDICARE» e «[SAC] - ENG», em agosto de 2026, apresenta o total de chamadas atendidas, considerando apenas entradas de segunda a sexta-feira, a partir das 08h00 e antes das 20h00, hora de Lisboa, excluindo feriados nacionais.</t>
  </si>
  <si>
    <t>For queues "[SAC] INB MEDICARE" and "[SAC] - ENG", in August 2026, report the total of answered calls,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</si>
  <si>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Contar sessões atendidas, uma vez por SessionID.</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</si>
  <si>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answered sessions once per SessionID.</t>
  </si>
  <si>
    <t>Q07</t>
  </si>
  <si>
    <t>Abandono</t>
  </si>
  <si>
    <t>Para a fila «[SAC] INB MEDICARE», em agosto de 2026, apresenta o total de chamadas que ficaram sem atendimento, incluindo as que esperaram menos de 30 segundos, considerando apenas entradas de segunda a sexta-feira, a partir das 08h00 e antes das 20h00, hora de Lisboa, excluindo feriados nacionais.</t>
  </si>
  <si>
    <t>For queue "[SAC] INB MEDICARE", in August 2026, report the total of unanswered calls, including those that waited less than 30 seconds,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</si>
  <si>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Contar sessões elegíveis sem Connected; incluir as de espera inferior a 30 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</si>
  <si>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eligible sessions with no Connected interaction, including all short abandons.</t>
  </si>
  <si>
    <t>Q08</t>
  </si>
  <si>
    <t>Para o conjunto das filas «[SAC] INB MEDICARE» e «[SAC] - ENG», em agosto de 2026, apresenta o total de chamadas que ficaram sem atendimento, incluindo as que esperaram menos de 30 segundos, considerando apenas entradas de segunda a sexta-feira, a partir das 08h00 e antes das 20h00, hora de Lisboa, excluindo feriados nacionais.</t>
  </si>
  <si>
    <t>For queues "[SAC] INB MEDICARE" and "[SAC] - ENG", in August 2026, report the total of unanswered calls, including those that waited less than 30 seconds,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</si>
  <si>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Contar sessões elegíveis sem Connected; incluir as de espera inferior a 30 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</si>
  <si>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eligible sessions with no Connected interaction, including all short abandons.</t>
  </si>
  <si>
    <t>Q09</t>
  </si>
  <si>
    <t>Para a fila «[SAC] INB MEDICARE», em agosto de 2026, apresenta o total de chamadas nunca atendidas que acumularam menos de 30 segundos de espera, considerando apenas entradas de segunda a sexta-feira, a partir das 08h00 e antes das 20h00, hora de Lisboa, excluindo feriados nacionais.</t>
  </si>
  <si>
    <t>For queue "[SAC] INB MEDICARE", in August 2026, report the total of never-answered calls with less than 30 seconds of accumulated waiting time,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</si>
  <si>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Contar apenas sessões sem Connected e com espera &lt;30 s; exatamente 30 s não fica neste grupo.</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</si>
  <si>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Count only unanswered sessions with waiting time &lt;30 s. Exactly 30 s is not below the threshold.</t>
  </si>
  <si>
    <t>Q10</t>
  </si>
  <si>
    <t>Para o conjunto das filas «[SAC] INB MEDICARE» e «[SAC] - ENG», em agosto de 2026, apresenta o total de chamadas nunca atendidas que acumularam menos de 30 segundos de espera, considerando apenas entradas de segunda a sexta-feira, a partir das 08h00 e antes das 20h00, hora de Lisboa, excluindo feriados nacionais.</t>
  </si>
  <si>
    <t>For queues "[SAC] INB MEDICARE" and "[SAC] - ENG", in August 2026, report the total of never-answered calls with less than 30 seconds of accumulated waiting time,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</si>
  <si>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Contar apenas sessões sem Connected e com espera &lt;30 s; exatamente 30 s não fica neste grupo.</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</si>
  <si>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Count only unanswered sessions with waiting time &lt;30 s. Exactly 30 s is not below the threshold.</t>
  </si>
  <si>
    <t>Q11</t>
  </si>
  <si>
    <t>Para a fila «[SAC] INB MEDICARE», em agosto de 2026, apresenta o total de chamadas nunca atendidas que acumularam pelo menos 30 segundos de espera, considerando apenas entradas de segunda a sexta-feira, a partir das 08h00 e antes das 20h00, hora de Lisboa, excluindo feriados nacionais.</t>
  </si>
  <si>
    <t>For queue "[SAC] INB MEDICARE", in August 2026, report the total of never-answered calls with at least 30 seconds of accumulated waiting time,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</si>
  <si>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Contar apenas sessões sem Connected e com espera ≥30 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</si>
  <si>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Count only unanswered sessions with waiting time &gt;=30 s.</t>
  </si>
  <si>
    <t>Q12</t>
  </si>
  <si>
    <t>Para o conjunto das filas «[SAC] INB MEDICARE» e «[SAC] - ENG», em agosto de 2026, apresenta o total de chamadas nunca atendidas que acumularam pelo menos 30 segundos de espera, considerando apenas entradas de segunda a sexta-feira, a partir das 08h00 e antes das 20h00, hora de Lisboa, excluindo feriados nacionais.</t>
  </si>
  <si>
    <t>For queues "[SAC] INB MEDICARE" and "[SAC] - ENG", in August 2026, report the total of never-answered calls with at least 30 seconds of accumulated waiting time,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</si>
  <si>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Contar apenas sessões sem Connected e com espera ≥30 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</si>
  <si>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Count only unanswered sessions with waiting time &gt;=30 s.</t>
  </si>
  <si>
    <t>Q13</t>
  </si>
  <si>
    <t>Eficiência</t>
  </si>
  <si>
    <t>Para a fila «[SAC] INB MEDICARE», em agosto de 2026, apresenta a percentagem de chamadas atendidas face às recebidas, depois de descontar das recebidas apenas as nunca atendidas com espera total inferior a 30 segundos, considerando apenas entradas de segunda a sexta-feira, a partir das 08h00 e antes das 20h00, hora de Lisboa, excluindo feriados nacionais.</t>
  </si>
  <si>
    <t>For queue "[SAC] INB MEDICARE", in August 2026, report the percentage of answered calls relative to received calls, removing only never-answered calls with less than 30 seconds of total waiting time from received calls,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</si>
  <si>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Eficiência = atendidas / recebidas ajustadas. Apresentar percentagem com duas casas decimais.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</si>
  <si>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Efficiency = answered calls / adjusted received calls. Report a percentage to two decimal places.</t>
  </si>
  <si>
    <t>%</t>
  </si>
  <si>
    <t>Q14</t>
  </si>
  <si>
    <t>Para o conjunto das filas «[SAC] INB MEDICARE» e «[SAC] - ENG», em agosto de 2026, apresenta a percentagem de chamadas atendidas face às recebidas, depois de descontar das recebidas apenas as nunca atendidas com espera total inferior a 30 segundos, considerando apenas entradas de segunda a sexta-feira, a partir das 08h00 e antes das 20h00, hora de Lisboa, excluindo feriados nacionais.</t>
  </si>
  <si>
    <t>For queues "[SAC] INB MEDICARE" and "[SAC] - ENG", in August 2026, report the percentage of answered calls relative to received calls, removing only never-answered calls with less than 30 seconds of total waiting time from received calls,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</si>
  <si>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Eficiência = atendidas / recebidas ajustadas. Apresentar percentagem com duas casas decimais.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</si>
  <si>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Efficiency = answered calls / adjusted received calls. Report a percentage to two decimal places.</t>
  </si>
  <si>
    <t>Q15</t>
  </si>
  <si>
    <t>Para a fila «[SAC] INB MEDICARE», em agosto de 2026, apresenta a percentagem de chamadas recebidas que ficaram sem atendimento, incluindo as que esperaram menos de 30 segundos, considerando apenas entradas de segunda a sexta-feira, a partir das 08h00 e antes das 20h00, hora de Lisboa, excluindo feriados nacionais.</t>
  </si>
  <si>
    <t>For queue "[SAC] INB MEDICARE", in August 2026, report the percentage of all received calls that went unanswered, without excluding calls with waiting times below 30 seconds,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</si>
  <si>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Taxa bruta de abandono = não atendidas / chamadas brutas. Duas casas decimais.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</si>
  <si>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Gross abandonment rate = unanswered sessions / gross sessions. Two decimal places.</t>
  </si>
  <si>
    <t>Q16</t>
  </si>
  <si>
    <t>Para o conjunto das filas «[SAC] INB MEDICARE» e «[SAC] - ENG», em agosto de 2026, apresenta a percentagem de chamadas recebidas que ficaram sem atendimento, incluindo as que esperaram menos de 30 segundos, considerando apenas entradas de segunda a sexta-feira, a partir das 08h00 e antes das 20h00, hora de Lisboa, excluindo feriados nacionais.</t>
  </si>
  <si>
    <t>For queues "[SAC] INB MEDICARE" and "[SAC] - ENG", in August 2026, report the percentage of all received calls that went unanswered, without excluding calls with waiting times below 30 seconds,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</si>
  <si>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Taxa bruta de abandono = não atendidas / chamadas brutas. Duas casas decimais.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</si>
  <si>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Gross abandonment rate = unanswered sessions / gross sessions. Two decimal places.</t>
  </si>
  <si>
    <t>Q17</t>
  </si>
  <si>
    <t>Para a fila «[SAC] INB MEDICARE», em agosto de 2026, apresenta a percentagem de chamadas que ficaram sem atendimento depois de retirar, do conjunto recebido, as nunca atendidas com espera total inferior a 30 segundos, considerando apenas entradas de segunda a sexta-feira, a partir das 08h00 e antes das 20h00, hora de Lisboa, excluindo feriados nacionais.</t>
  </si>
  <si>
    <t>For queue "[SAC] INB MEDICARE", in August 2026, report the percentage of calls that went unanswered after removing never-answered calls with less than 30 seconds of total waiting time from the received group,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</si>
  <si>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Taxa sem abandonos curtos = não atendidas com espera ≥30 s / recebidas ajustadas. Duas casas decimais.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</si>
  <si>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Abandonment rate excluding short abandons = unanswered sessions with waiting time &gt;=30 s / adjusted received calls. Two decimal places.</t>
  </si>
  <si>
    <t>Q18</t>
  </si>
  <si>
    <t>Para o conjunto das filas «[SAC] INB MEDICARE» e «[SAC] - ENG», em agosto de 2026, apresenta a percentagem de chamadas que ficaram sem atendimento depois de retirar, do conjunto recebido, as nunca atendidas com espera total inferior a 30 segundos, considerando apenas entradas de segunda a sexta-feira, a partir das 08h00 e antes das 20h00, hora de Lisboa, excluindo feriados nacionais.</t>
  </si>
  <si>
    <t>For queues "[SAC] INB MEDICARE" and "[SAC] - ENG", in August 2026, report the percentage of calls that went unanswered after removing never-answered calls with less than 30 seconds of total waiting time from the received group,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</si>
  <si>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Taxa sem abandonos curtos = não atendidas com espera ≥30 s / recebidas ajustadas. Duas casas decimais.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</si>
  <si>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Abandonment rate excluding short abandons = unanswered sessions with waiting time &gt;=30 s / adjusted received calls. Two decimal places.</t>
  </si>
  <si>
    <t>Q19</t>
  </si>
  <si>
    <t>SLA</t>
  </si>
  <si>
    <t>Para a fila «[SAC] INB MEDICARE», em agosto de 2026, apresenta a percentagem de chamadas atendidas que esperaram no máximo 30 segundos até ao primeiro atendimento, considerando apenas entradas de segunda a sexta-feira, a partir das 08h00 e antes das 20h00, hora de Lisboa, excluindo feriados nacionais.</t>
  </si>
  <si>
    <t>For queue "[SAC] INB MEDICARE", in August 2026, report the percentage of answered calls that waited no more than 30 seconds until the first answer,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</si>
  <si>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SLA ≤30 s = atendidas com espera ≤30 s / todas as atendidas. Incluir exatamente 30 s. Não incluir abandonadas no denominador.</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</si>
  <si>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SLA &lt;=30 s = answered sessions with waiting time &lt;=30 s / all answered sessions. Include exactly 30 s. Exclude unanswered sessions from the denominator.</t>
  </si>
  <si>
    <t>Q20</t>
  </si>
  <si>
    <t>Para o conjunto das filas «[SAC] INB MEDICARE» e «[SAC] - ENG», em agosto de 2026, apresenta a percentagem de chamadas atendidas que esperaram no máximo 30 segundos até ao primeiro atendimento, considerando apenas entradas de segunda a sexta-feira, a partir das 08h00 e antes das 20h00, hora de Lisboa, excluindo feriados nacionais.</t>
  </si>
  <si>
    <t>For queues "[SAC] INB MEDICARE" and "[SAC] - ENG", in August 2026, report the percentage of answered calls that waited no more than 30 seconds until the first answer,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</si>
  <si>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SLA ≤30 s = atendidas com espera ≤30 s / todas as atendidas. Incluir exatamente 30 s. Não incluir abandonadas no denominador.</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</si>
  <si>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SLA &lt;=30 s = answered sessions with waiting time &lt;=30 s / all answered sessions. Include exactly 30 s. Exclude unanswered sessions from the denominator.</t>
  </si>
  <si>
    <t>Q21</t>
  </si>
  <si>
    <t>Espera</t>
  </si>
  <si>
    <t>Para a fila «[SAC] INB MEDICARE», em agosto de 2026, apresenta o tempo médio de espera até ao primeiro atendimento (ASA), em segundos, apenas das chamadas atendidas, considerando apenas entradas de segunda a sexta-feira, a partir das 08h00 e antes das 20h00, hora de Lisboa, excluindo feriados nacionais.</t>
  </si>
  <si>
    <t>For queue "[SAC] INB MEDICARE", in August 2026, report the average waiting time until the first answer (ASA), in seconds, for answered calls only,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</si>
  <si>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ASA = soma da espera das chamadas atendidas / chamadas atendidas. Segundos, duas casas decimais.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</si>
  <si>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ASA = total waiting time of answered sessions / answered sessions. Seconds, two decimal places.</t>
  </si>
  <si>
    <t>s</t>
  </si>
  <si>
    <t>Q22</t>
  </si>
  <si>
    <t>Para o conjunto das filas «[SAC] INB MEDICARE» e «[SAC] - ENG», em agosto de 2026, apresenta o tempo médio de espera até ao primeiro atendimento (ASA), em segundos, apenas das chamadas atendidas, considerando apenas entradas de segunda a sexta-feira, a partir das 08h00 e antes das 20h00, hora de Lisboa, excluindo feriados nacionais.</t>
  </si>
  <si>
    <t>For queues "[SAC] INB MEDICARE" and "[SAC] - ENG", in August 2026, report the average waiting time until the first answer (ASA), in seconds, for answered calls only,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</si>
  <si>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ASA = soma da espera das chamadas atendidas / chamadas atendidas. Segundos, duas casas decimais.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</si>
  <si>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ASA = total waiting time of answered sessions / answered sessions. Seconds, two decimal places.</t>
  </si>
  <si>
    <t>Q23</t>
  </si>
  <si>
    <t>Tempos</t>
  </si>
  <si>
    <t>Para a fila «[SAC] INB MEDICARE», em agosto de 2026, apresenta o tempo médio de conversação por chamada atendida, em segundos, usando chamadas com o tempo de conversação completo, considerando apenas entradas de segunda a sexta-feira, a partir das 08h00 e antes das 20h00, hora de Lisboa, excluindo feriados nacionais.</t>
  </si>
  <si>
    <t>For queue "[SAC] INB MEDICARE", in August 2026, report the average talk time per answered call, in seconds, using calls with complete talk-time records,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</si>
  <si>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Conversação média = soma de Talk_Duration_Seconds das interações Connected / sessões atendidas com esse componente completo. Excluir a sessão se faltar o componente em alguma interação Connected.</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</si>
  <si>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talk time = summed Talk_Duration_Seconds from Connected interactions / answered sessions with complete talk data. Exclude a session if talk time is missing from any Connected interaction.</t>
  </si>
  <si>
    <t>Q24</t>
  </si>
  <si>
    <t>For queues "[SAC] INB MEDICARE" and "[SAC] - ENG", in August 2026, report the average talk time per answered call, in seconds, using calls with complete talk-time records,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</si>
  <si>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Conversação média = soma de Talk_Duration_Seconds das interações Connected / sessões atendidas com esse componente completo. Excluir a sessão se faltar o componente em alguma interação Connected.</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</si>
  <si>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talk time = summed Talk_Duration_Seconds from Connected interactions / answered sessions with complete talk data. Exclude a session if talk time is missing from any Connected interaction.</t>
  </si>
  <si>
    <t>Q25</t>
  </si>
  <si>
    <t>Para a fila «[SAC] INB MEDICARE», em agosto de 2026, apresenta o tempo médio de hold por chamada atendida, em segundos, usando chamadas com o tempo de hold completo, considerando apenas entradas de segunda a sexta-feira, a partir das 08h00 e antes das 20h00, hora de Lisboa, excluindo feriados nacionais.</t>
  </si>
  <si>
    <t>For queue "[SAC] INB MEDICARE", in August 2026, report the average hold time per answered call, in seconds, using calls with complete hold-time records,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</si>
  <si>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Hold médio = soma de Hold_Duration_Seconds das interações Connected / sessões atendidas com esse componente completo. NULL é ausência; zero é válido. Excluir a sessão se esse componente faltar em alguma interação Connected.</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</si>
  <si>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hold time = summed Hold_Duration_Seconds from Connected interactions / answered sessions with complete hold data. Null means missing; zero is valid. Exclude the session if this component is missing from any Connected interaction.</t>
  </si>
  <si>
    <t>Q26</t>
  </si>
  <si>
    <t>Para o conjunto das filas «[SAC] INB MEDICARE» e «[SAC] - ENG», em agosto de 2026, apresenta o tempo médio de hold por chamada atendida, em segundos, usando chamadas com o tempo de hold completo, considerando apenas entradas de segunda a sexta-feira, a partir das 08h00 e antes das 20h00, hora de Lisboa, excluindo feriados nacionais.</t>
  </si>
  <si>
    <t>For queues "[SAC] INB MEDICARE" and "[SAC] - ENG", in August 2026, report the average hold time per answered call, in seconds, using calls with complete hold-time records,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</si>
  <si>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Hold médio = soma de Hold_Duration_Seconds das interações Connected / sessões atendidas com esse componente completo. NULL é ausência; zero é válido. Excluir a sessão se esse componente faltar em alguma interação Connected.</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</si>
  <si>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hold time = summed Hold_Duration_Seconds from Connected interactions / answered sessions with complete hold data. Null means missing; zero is valid. Exclude the session if this component is missing from any Connected interaction.</t>
  </si>
  <si>
    <t>Q27</t>
  </si>
  <si>
    <t>Para a fila «[SAC] INB MEDICARE», em agosto de 2026, apresenta o tempo médio de trabalho após a chamada (ACW) por chamada atendida, em segundos, usando chamadas com o tempo de ACW completo, considerando apenas entradas de segunda a sexta-feira, a partir das 08h00 e antes das 20h00, hora de Lisboa, excluindo feriados nacionais.</t>
  </si>
  <si>
    <t>For queue "[SAC] INB MEDICARE", in August 2026, report the average after-call work time (ACW) per answered call, in seconds, using calls with complete ACW records,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</si>
  <si>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ACW médio = soma de ACW_Duration_Seconds das interações Connected / sessões atendidas com esse componente completo. NULL é ausência; zero é válido. Excluir a sessão se esse componente faltar em alguma interação Connected.</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</si>
  <si>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ACW = summed ACW_Duration_Seconds from Connected interactions / answered sessions with complete ACW data. Null means missing; zero is valid. Exclude the session if this component is missing from any Connected interaction.</t>
  </si>
  <si>
    <t>Q28</t>
  </si>
  <si>
    <t>Para o conjunto das filas «[SAC] INB MEDICARE» e «[SAC] - ENG», em agosto de 2026, apresenta o tempo médio de trabalho após a chamada (ACW) por chamada atendida, em segundos, usando chamadas com o tempo de ACW completo, considerando apenas entradas de segunda a sexta-feira, a partir das 08h00 e antes das 20h00, hora de Lisboa, excluindo feriados nacionais.</t>
  </si>
  <si>
    <t>For queues "[SAC] INB MEDICARE" and "[SAC] - ENG", in August 2026, report the average after-call work time (ACW) per answered call, in seconds, using calls with complete ACW records,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</si>
  <si>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ACW médio = soma de ACW_Duration_Seconds das interações Connected / sessões atendidas com esse componente completo. NULL é ausência; zero é válido. Excluir a sessão se esse componente faltar em alguma interação Connected.</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</si>
  <si>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Mean ACW = summed ACW_Duration_Seconds from Connected interactions / answered sessions with complete ACW data. Null means missing; zero is valid. Exclude the session if this component is missing from any Connected interaction.</t>
  </si>
  <si>
    <t>Q29</t>
  </si>
  <si>
    <t>AHT</t>
  </si>
  <si>
    <t>Para a fila «[SAC] INB MEDICARE», em agosto de 2026, apresenta o tempo médio de tratamento (AHT) por chamada atendida, em segundos, somando conversação, hold e trabalho após a chamada nas chamadas com os três tempos completos, considerando apenas entradas de segunda a sexta-feira, a partir das 08h00 e antes das 20h00, hora de Lisboa, excluindo feriados nacionais.</t>
  </si>
  <si>
    <t>For queue "[SAC] INB MEDICARE", in August 2026, report the average handling time (AHT) per answered call, in seconds, adding talk, hold and after-call work for calls with all three components fully recorded,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</si>
  <si>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AHT = soma de conversação + hold + ACW das interações Connected / sessões atendidas com os três componentes completos em todas essas interações. Não somar médias de amostras diferentes.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</si>
  <si>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AHT = total talk + hold + ACW from Connected interactions / answered sessions with all three components present in every Connected interaction. Do not add averages based on different samples.</t>
  </si>
  <si>
    <t>Q30</t>
  </si>
  <si>
    <t>Para o conjunto das filas «[SAC] INB MEDICARE» e «[SAC] - ENG», em agosto de 2026, apresenta o tempo médio de tratamento (AHT) por chamada atendida, em segundos, somando conversação, hold e trabalho após a chamada nas chamadas com os três tempos completos, considerando apenas entradas de segunda a sexta-feira, a partir das 08h00 e antes das 20h00, hora de Lisboa, excluindo feriados nacionais.</t>
  </si>
  <si>
    <t>For queues "[SAC] INB MEDICARE" and "[SAC] - ENG", in August 2026, report the average handling time (AHT) per answered call, in seconds, adding talk, hold and after-call work for calls with all three components fully recorded,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</si>
  <si>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AHT = soma de conversação + hold + ACW das interações Connected / sessões atendidas com os três componentes completos em todas essas interações. Não somar médias de amostras diferentes.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</si>
  <si>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AHT = total talk + hold + ACW from Connected interactions / answered sessions with all three components present in every Connected interaction. Do not add averages based on different samples.</t>
  </si>
  <si>
    <t>Q31</t>
  </si>
  <si>
    <t>Carga de trabalho</t>
  </si>
  <si>
    <t>Para a fila «[SAC] INB MEDICARE», em agosto de 2026, apresenta o total de horas de tratamento das chamadas atendidas, somando conversação, hold e trabalho após a chamada nas chamadas com os três tempos completos, considerando apenas entradas de segunda a sexta-feira, a partir das 08h00 e antes das 20h00, hora de Lisboa, excluindo feriados nacionais.</t>
  </si>
  <si>
    <t>For queue "[SAC] INB MEDICARE", in August 2026, report the total handling hours of answered calls, adding talk, hold and after-call work for calls with all three components fully recorded,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</si>
  <si>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Horas de tratamento = soma de conversação + hold + ACW da amostra completa /3600. Excluir a sessão inteira se faltar um componente numa interação Connected.</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</si>
  <si>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Handling hours = total talk + hold + ACW in the complete-data sample /3600. Exclude the entire session if any Connected interaction lacks a component.</t>
  </si>
  <si>
    <t>h</t>
  </si>
  <si>
    <t>Q32</t>
  </si>
  <si>
    <t>Para o conjunto das filas «[SAC] INB MEDICARE» e «[SAC] - ENG», em agosto de 2026, apresenta o total de horas de tratamento das chamadas atendidas, somando conversação, hold e trabalho após a chamada nas chamadas com os três tempos completos, considerando apenas entradas de segunda a sexta-feira, a partir das 08h00 e antes das 20h00, hora de Lisboa, excluindo feriados nacionais.</t>
  </si>
  <si>
    <t>For queues "[SAC] INB MEDICARE" and "[SAC] - ENG", in August 2026, report the total handling hours of answered calls, adding talk, hold and after-call work for calls with all three components fully recorded,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</si>
  <si>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Horas de tratamento = soma de conversação + hold + ACW da amostra completa /3600. Excluir a sessão inteira se faltar um componente numa interação Connected.</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</si>
  <si>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Handling hours = total talk + hold + ACW in the complete-data sample /3600. Exclude the entire session if any Connected interaction lacks a component.</t>
  </si>
  <si>
    <t>Q33</t>
  </si>
  <si>
    <t>Qualidade dos dados</t>
  </si>
  <si>
    <t>Para a fila «[SAC] INB MEDICARE», em agosto de 2026, apresenta o número de chamadas atendidas com tempo de hold em falta em alguma parte do atendimento, considerando apenas entradas de segunda a sexta-feira, a partir das 08h00 e antes das 20h00, hora de Lisboa, excluindo feriados nacionais.</t>
  </si>
  <si>
    <t>For queue "[SAC] INB MEDICARE", in August 2026, report the number of answered calls missing hold time for any part of the call,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</si>
  <si>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Contar sessões atendidas com Hold_Duration_Seconds em falta em pelo menos uma interação Connected; zero é válido.</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</si>
  <si>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answered sessions where Hold_Duration_Seconds is missing in at least one Connected interaction. Zero remains valid.</t>
  </si>
  <si>
    <t>Q34</t>
  </si>
  <si>
    <t>Para o conjunto das filas «[SAC] INB MEDICARE» e «[SAC] - ENG», em agosto de 2026, apresenta o número de chamadas atendidas com tempo de hold em falta em alguma parte do atendimento, considerando apenas entradas de segunda a sexta-feira, a partir das 08h00 e antes das 20h00, hora de Lisboa, excluindo feriados nacionais.</t>
  </si>
  <si>
    <t>For queues "[SAC] INB MEDICARE" and "[SAC] - ENG", in August 2026, report the number of answered calls missing hold time for any part of the call,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</si>
  <si>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Contar sessões atendidas com Hold_Duration_Seconds em falta em pelo menos uma interação Connected; zero é válido.</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</si>
  <si>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answered sessions where Hold_Duration_Seconds is missing in at least one Connected interaction. Zero remains valid.</t>
  </si>
  <si>
    <t>Q35</t>
  </si>
  <si>
    <t>Sessões e interações</t>
  </si>
  <si>
    <t>Para a fila «[SAC] INB MEDICARE», em agosto de 2026, apresenta o número de chamadas que tiveram mais de uma interação no mesmo serviço, considerando apenas entradas de segunda a sexta-feira, a partir das 08h00 e antes das 20h00, hora de Lisboa, excluindo feriados nacionais.</t>
  </si>
  <si>
    <t>For queue "[SAC] INB MEDICARE", in August 2026, report the number of calls with more than one interaction in the same service,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</si>
  <si>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Contar sessões com mais de uma interação elegível no universo; uma chamada por sessão.</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</si>
  <si>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Count sessions containing more than one eligible interaction within scope, once per session.</t>
  </si>
  <si>
    <t>Q36</t>
  </si>
  <si>
    <t>Para o conjunto das filas «[SAC] INB MEDICARE» e «[SAC] - ENG», em agosto de 2026, apresenta o número de chamadas que tiveram mais de uma interação no mesmo serviço, considerando apenas entradas de segunda a sexta-feira, a partir das 08h00 e antes das 20h00, hora de Lisboa, excluindo feriados nacionais.</t>
  </si>
  <si>
    <t>For queues "[SAC] INB MEDICARE" and "[SAC] - ENG", in August 2026, report the number of calls with more than one interaction in the same service,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</si>
  <si>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Contar sessões com mais de uma interação elegível no universo; uma chamada por sessão.</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</si>
  <si>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Count sessions containing more than one eligible interaction within scope, once per session.</t>
  </si>
  <si>
    <t>Q37</t>
  </si>
  <si>
    <t>Equipa</t>
  </si>
  <si>
    <t>Para a fila «[SAC] INB MEDICARE», em agosto de 2026, apresenta o número de operadores diferentes que atenderam chamadas, considerando apenas entradas de segunda a sexta-feira, a partir das 08h00 e antes das 20h00, hora de Lisboa, excluindo feriados nacionais.</t>
  </si>
  <si>
    <t>For queue "[SAC] INB MEDICARE", in August 2026, report the number of different agents who answered calls,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</si>
  <si>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Contar Handling_Agent_ID distintos nas interações Connected das sessões elegíveis; não representa FTE.</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</si>
  <si>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distinct Handling_Agent_ID values from Connected interactions in eligible sessions. This is not an FTE count.</t>
  </si>
  <si>
    <t>operadores</t>
  </si>
  <si>
    <t>Q38</t>
  </si>
  <si>
    <t>Para o conjunto das filas «[SAC] INB MEDICARE» e «[SAC] - ENG», em agosto de 2026, apresenta o número de operadores diferentes que atenderam chamadas, considerando apenas entradas de segunda a sexta-feira, a partir das 08h00 e antes das 20h00, hora de Lisboa, excluindo feriados nacionais.</t>
  </si>
  <si>
    <t>For queues "[SAC] INB MEDICARE" and "[SAC] - ENG", in August 2026, report the number of different agents who answered calls,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</si>
  <si>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Contar Handling_Agent_ID distintos nas interações Connected das sessões elegíveis; não representa FTE.</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</si>
  <si>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Count distinct Handling_Agent_ID values from Connected interactions in eligible sessions. This is not an FTE count.</t>
  </si>
  <si>
    <t>Q39</t>
  </si>
  <si>
    <t>Evolução mensal</t>
  </si>
  <si>
    <t>Para a fila «[SAC] INB MEDICARE», apresenta a variação percentual do total bruto de chamadas recebidas em agosto de 2026 face a julho de 2026, considerando apenas entradas de segunda a sexta-feira, a partir das 08h00 e antes das 20h00, hora de Lisboa, excluindo feriados nacionais.</t>
  </si>
  <si>
    <t>For queue "[SAC] INB MEDICARE", report the percentage change in gross received calls from July to August 2026,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</si>
  <si>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Comparar o volume bruto de agosto de 2026 com julho de 2026, usando exatamente as mesmas regras nos dois períodos. Variação = atual/referência −1; duas casas decimais.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</si>
  <si>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Compare August 2026 gross volume with July 2026 using identical rules for both periods. Change = current/reference −1; two decimal places.</t>
  </si>
  <si>
    <t>Q40</t>
  </si>
  <si>
    <t>Para o conjunto das filas «[SAC] INB MEDICARE» e «[SAC] - ENG», apresenta a variação percentual do total bruto de chamadas recebidas em agosto de 2026 face a julho de 2026, considerando apenas entradas de segunda a sexta-feira, a partir das 08h00 e antes das 20h00, hora de Lisboa, excluindo feriados nacionais.</t>
  </si>
  <si>
    <t>For queues "[SAC] INB MEDICARE" and "[SAC] - ENG", report the percentage change in gross received calls from July to August 2026,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</si>
  <si>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Comparar o volume bruto de agosto de 2026 com julho de 2026, usando exatamente as mesmas regras nos dois períodos. Variação = atual/referência −1; duas casas decimais.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</si>
  <si>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Compare August 2026 gross volume with July 2026 using identical rules for both periods. Change = current/reference −1; two decimal places.</t>
  </si>
  <si>
    <t>Q41</t>
  </si>
  <si>
    <t>Evolução homóloga</t>
  </si>
  <si>
    <t>Para a fila «[SAC] INB MEDICARE», apresenta a variação percentual do total bruto de chamadas recebidas em agosto de 2026 face a agosto de 2025, considerando apenas entradas de segunda a sexta-feira, a partir das 08h00 e antes das 20h00, hora de Lisboa, excluindo feriados nacionais.</t>
  </si>
  <si>
    <t>For queue "[SAC] INB MEDICARE", report the percentage change in gross received calls from August 2025 to August 2026,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</si>
  <si>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Comparar o volume bruto de agosto de 2026 com agosto de 2025, usando exatamente as mesmas regras nos dois períodos. Variação = atual/referência −1; duas casas decimais.</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</si>
  <si>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Compare August 2026 gross volume with August 2025 using identical rules for both periods. Change = current/reference −1; two decimal places.</t>
  </si>
  <si>
    <t>Q42</t>
  </si>
  <si>
    <t>Para o conjunto das filas «[SAC] INB MEDICARE» e «[SAC] - ENG», apresenta a variação percentual do total bruto de chamadas recebidas em agosto de 2026 face a agosto de 2025, considerando apenas entradas de segunda a sexta-feira, a partir das 08h00 e antes das 20h00, hora de Lisboa, excluindo feriados nacionais.</t>
  </si>
  <si>
    <t>For queues "[SAC] INB MEDICARE" and "[SAC] - ENG", report the percentage change in gross received calls from August 2025 to August 2026,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</si>
  <si>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Comparar o volume bruto de agosto de 2026 com agosto de 2025, usando exatamente as mesmas regras nos dois períodos. Variação = atual/referência −1; duas casas decimais.</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</si>
  <si>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Compare August 2026 gross volume with August 2025 using identical rules for both periods. Change = current/reference −1; two decimal places.</t>
  </si>
  <si>
    <t>Q43</t>
  </si>
  <si>
    <t>Distribuição diária</t>
  </si>
  <si>
    <t>Para a fila «[SAC] INB MEDICARE», em agosto de 2026, apresenta a data com mais chamadas recebidas, indicando a primeira data em caso de empate, considerando apenas entradas de segunda a sexta-feira, a partir das 08h00 e antes das 20h00, hora de Lisboa, excluindo feriados nacionais.</t>
  </si>
  <si>
    <t>For queue "[SAC] INB MEDICARE", in August 2026, report the date with the most received calls, choosing the earliest date in a tie,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</si>
  <si>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Data local com mais recebidas brutas; desempatar pela data mais antiga.</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</si>
  <si>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Local date with the most gross received calls; choose the earliest date in a tie.</t>
  </si>
  <si>
    <t>data</t>
  </si>
  <si>
    <t>Q44</t>
  </si>
  <si>
    <t>Para o conjunto das filas «[SAC] INB MEDICARE» e «[SAC] - ENG», em agosto de 2026, apresenta a data com mais chamadas recebidas, indicando a primeira data em caso de empate, considerando apenas entradas de segunda a sexta-feira, a partir das 08h00 e antes das 20h00, hora de Lisboa, excluindo feriados nacionais.</t>
  </si>
  <si>
    <t>For queues "[SAC] INB MEDICARE" and "[SAC] - ENG", in August 2026, report the date with the most received calls, choosing the earliest date in a tie,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</si>
  <si>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Data local com mais recebidas brutas; desempatar pela data mais antiga.</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</si>
  <si>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Local date with the most gross received calls; choose the earliest date in a tie.</t>
  </si>
  <si>
    <t>Q45</t>
  </si>
  <si>
    <t>Distribuição horária</t>
  </si>
  <si>
    <t>Para a fila «[SAC] INB MEDICARE», em agosto de 2026, apresenta a faixa de uma hora com mais chamadas recebidas, somando todos os dias do mês e indicando a faixa mais cedo em caso de empate, considerando apenas entradas de segunda a sexta-feira, a partir das 08h00 e antes das 20h00, hora de Lisboa, excluindo feriados nacionais.</t>
  </si>
  <si>
    <t>For queue "[SAC] INB MEDICARE", in August 2026, report the one-hour time slot with the most received calls summed across the month, choosing the earliest slot in a tie,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</si>
  <si>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Somar recebidas brutas por faixa horária local [hora, hora+1[ em todos os dias elegíveis; desempatar pela faixa mais cedo.</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</si>
  <si>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Sum gross received calls by local hourly interval [hour, hour+1) across eligible days; choose the earliest interval in a tie.</t>
  </si>
  <si>
    <t>intervalo</t>
  </si>
  <si>
    <t>Q46</t>
  </si>
  <si>
    <t>Para o conjunto das filas «[SAC] INB MEDICARE» e «[SAC] - ENG», em agosto de 2026, apresenta a faixa de uma hora com mais chamadas recebidas, somando todos os dias do mês e indicando a faixa mais cedo em caso de empate, considerando apenas entradas de segunda a sexta-feira, a partir das 08h00 e antes das 20h00, hora de Lisboa, excluindo feriados nacionais.</t>
  </si>
  <si>
    <t>For queues "[SAC] INB MEDICARE" and "[SAC] - ENG", in August 2026, report the one-hour time slot with the most received calls summed across the month, choosing the earliest slot in a tie,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</si>
  <si>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Somar recebidas brutas por faixa horária local [hora, hora+1[ em todos os dias elegíveis; desempatar pela faixa mais cedo.</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</si>
  <si>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Sum gross received calls by local hourly interval [hour, hour+1) across eligible days; choose the earliest interval in a tie.</t>
  </si>
  <si>
    <t>Q47</t>
  </si>
  <si>
    <t>Limites horários</t>
  </si>
  <si>
    <t>Para a fila «[SAC] INB MEDICARE», em agosto de 2026, apresenta o total bruto de chamadas recebidas, considerando apenas entradas de segunda a sexta-feira, a partir das 08h00 e antes das 09h00, hora de Lisboa, excluindo feriados nacionais.</t>
  </si>
  <si>
    <t>For queue "[SAC] INB MEDICARE", in August 2026, report the gross total of received calls, including only entries from Monday to Friday, at or after 08:00 and before 09:00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</si>
  <si>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09:00, Europe/Lisbon. Total bruto de SessionID recebidos, sem excluir esperas curtas e sem filtro de atendimento.</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</si>
  <si>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09:00, Europe/Lisbon. Gross total of received SessionIDs, without excluding short waits or filtering for answered calls.</t>
  </si>
  <si>
    <t>Q48</t>
  </si>
  <si>
    <t>Para o conjunto das filas «[SAC] INB MEDICARE» e «[SAC] - ENG», em agosto de 2026, apresenta o total bruto de chamadas recebidas, considerando apenas entradas de segunda a sexta-feira, a partir das 08h00 e antes das 09h00, hora de Lisboa, excluindo feriados nacionais.</t>
  </si>
  <si>
    <t>For queues "[SAC] INB MEDICARE" and "[SAC] - ENG", in August 2026, report the gross total of received calls, including only entries from Monday to Friday, at or after 08:00 and before 09:00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</si>
  <si>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09:00, Europe/Lisbon. Total bruto de SessionID recebidos, sem excluir esperas curtas e sem filtro de atendimento.</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</si>
  <si>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09:00, Europe/Lisbon. Gross total of received SessionIDs, without excluding short waits or filtering for answered calls.</t>
  </si>
  <si>
    <t>Q49</t>
  </si>
  <si>
    <t>Para a fila «[SAC] INB MEDICARE», em agosto de 2026, apresenta o total bruto de chamadas recebidas, considerando apenas entradas de segunda a sexta-feira, a partir das 19h00 e antes das 20h00, hora de Lisboa, excluindo feriados nacionais.</t>
  </si>
  <si>
    <t>For queue "[SAC] INB MEDICARE", in August 2026, report the gross total of received calls, including only entries from Monday to Friday, at or after 19:00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</si>
  <si>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19:00 ≤ hora local &lt; 20:00, Europe/Lisbon. Total bruto de SessionID recebidos, sem excluir esperas curtas e sem filtro de atendimento.</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</si>
  <si>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19:00 ≤ local hour &lt; 20:00, Europe/Lisbon. Gross total of received SessionIDs, without excluding short waits or filtering for answered calls.</t>
  </si>
  <si>
    <t>Q50</t>
  </si>
  <si>
    <t>Para o conjunto das filas «[SAC] INB MEDICARE» e «[SAC] - ENG», em agosto de 2026, apresenta o total bruto de chamadas recebidas, considerando apenas entradas de segunda a sexta-feira, a partir das 19h00 e antes das 20h00, hora de Lisboa, excluindo feriados nacionais.</t>
  </si>
  <si>
    <t>For queues "[SAC] INB MEDICARE" and "[SAC] - ENG", in August 2026, report the gross total of received calls, including only entries from Monday to Friday, at or after 19:00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</si>
  <si>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19:00 ≤ hora local &lt; 20:00, Europe/Lisbon. Total bruto de SessionID recebidos, sem excluir esperas curtas e sem filtro de atendimento.</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</si>
  <si>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19:00 ≤ local hour &lt; 20:00, Europe/Lisbon. Gross total of received SessionIDs, without excluding short waits or filtering for answered calls.</t>
  </si>
  <si>
    <t>Q51</t>
  </si>
  <si>
    <t>Calendário</t>
  </si>
  <si>
    <t>Para a fila «[SAC] INB MEDICARE», no dia 10 de junho de 2026, apresenta o total bruto de chamadas recebidas, considerando apenas entradas de segunda a sexta-feira, a partir das 08h00 e antes das 20h00, hora de Lisboa, excluindo feriados nacionais.</t>
  </si>
  <si>
    <t>For queue "[SAC] INB MEDICARE", on 10 June 2026, report the gross total of received calls,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</si>
  <si>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[2026-06-10, 2026-06-11[, de segunda a sexta, sem feriados nacionais portugueses; 08:00 ≤ hora local &lt; 20:00, Europe/Lisbon. Aplicar o calendário de feriados nacionais ao dia pedido; um dia excluído pelo calendário tem zero sessões elegíveis mesmo que haja registos na origem.</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</si>
  <si>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[2026-06-10, 2026-06-11), Monday–Friday, excluding Portuguese national holidays; 08:00 ≤ local hour &lt; 20:00, Europe/Lisbon. Apply the national-holiday calendar to the requested day; a date excluded by the calendar has zero eligible sessions even if source records exist.</t>
  </si>
  <si>
    <t>Q52</t>
  </si>
  <si>
    <t>Para o conjunto das filas «[SAC] INB MEDICARE» e «[SAC] - ENG», no dia 10 de junho de 2026, apresenta o total bruto de chamadas recebidas, considerando apenas entradas de segunda a sexta-feira, a partir das 08h00 e antes das 20h00, hora de Lisboa, excluindo feriados nacionais.</t>
  </si>
  <si>
    <t>For queues "[SAC] INB MEDICARE" and "[SAC] - ENG", on 10 June 2026, report the gross total of received calls,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</si>
  <si>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[2026-06-10, 2026-06-11[, de segunda a sexta, sem feriados nacionais portugueses; 08:00 ≤ hora local &lt; 20:00, Europe/Lisbon. Aplicar o calendário de feriados nacionais ao dia pedido; um dia excluído pelo calendário tem zero sessões elegíveis mesmo que haja registos na origem.</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</si>
  <si>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[2026-06-10, 2026-06-11), Monday–Friday, excluding Portuguese national holidays; 08:00 ≤ local hour &lt; 20:00, Europe/Lisbon. Apply the national-holiday calendar to the requested day; a date excluded by the calendar has zero eligible sessions even if source records exist.</t>
  </si>
  <si>
    <t>Q53</t>
  </si>
  <si>
    <t>Histórico 2024</t>
  </si>
  <si>
    <t>Para a fila «[SAC] INB MEDICARE», em agosto de 2024, apresenta o total bruto de chamadas recebidas, considerando apenas entradas de segunda a sexta-feira, a partir das 08h00 e antes das 20h00, hora de Lisboa, excluindo feriados nacionais.</t>
  </si>
  <si>
    <t>For queue "[SAC] INB MEDICARE", in August 2024, report the gross total of received calls,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</si>
  <si>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[2024-08-01, 2024-09-01[, de segunda a sexta, sem feriados nacionais portugueses; 08:00 ≤ hora local &lt; 20:00, Europe/Lisbon. Total bruto de SessionID recebidos, sem excluir esperas curtas e sem filtro de atendimento.</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</si>
  <si>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[2024-08-01, 2024-09-01), Monday–Friday, excluding Portuguese national holidays; 08:00 ≤ local hour &lt; 20:00, Europe/Lisbon. Gross total of received SessionIDs, without excluding short waits or filtering for answered calls.</t>
  </si>
  <si>
    <t>Q54</t>
  </si>
  <si>
    <t>Para o conjunto das filas «[SAC] INB MEDICARE» e «[SAC] - ENG», em agosto de 2024, apresenta o total bruto de chamadas recebidas, considerando apenas entradas de segunda a sexta-feira, a partir das 08h00 e antes das 20h00, hora de Lisboa, excluindo feriados nacionais.</t>
  </si>
  <si>
    <t>For queues "[SAC] INB MEDICARE" and "[SAC] - ENG", in August 2024, report the gross total of received calls,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</si>
  <si>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[2024-08-01, 2024-09-01[, de segunda a sexta, sem feriados nacionais portugueses; 08:00 ≤ hora local &lt; 20:00, Europe/Lisbon. Total bruto de SessionID recebidos, sem excluir esperas curtas e sem filtro de atendimento.</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</si>
  <si>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[2024-08-01, 2024-09-01), Monday–Friday, excluding Portuguese national holidays; 08:00 ≤ local hour &lt; 20:00, Europe/Lisbon. Gross total of received SessionIDs, without excluding short waits or filtering for answered calls.</t>
  </si>
  <si>
    <t>Q55</t>
  </si>
  <si>
    <t>Cobertura temporal</t>
  </si>
  <si>
    <t>Para a fila «[SAC] INB MEDICARE», em setembro de 2026, apresenta o total bruto de chamadas recebidas, considerando apenas entradas de segunda a sexta-feira, a partir das 08h00 e antes das 20h00, hora de Lisboa, excluindo feriados nacionais.</t>
  </si>
  <si>
    <t>For queue "[SAC] INB MEDICARE", in September 2026, report the gross total of received calls,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</si>
  <si>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[2026-09-01, 2026-10-01[, de segunda a sexta, sem feriados nacionais portugueses; 08:00 ≤ hora local &lt; 20:00, Europe/Lisbon. Verificar a cobertura do período; sem cobertura suficiente, indicar não apurável, sem assumir zero ou extrapolar.</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</si>
  <si>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[2026-09-01, 2026-10-01), Monday–Friday, excluding Portuguese national holidays; 08:00 ≤ local hour &lt; 20:00, Europe/Lisbon. Check period coverage; if insufficient, report unavailable without assuming zero or extrapolating.</t>
  </si>
  <si>
    <t>Não apurável: setembro de 2026 não está coberto. Os dados terminam em 31/08/2026. / Not available: September 2026 is not covered; data ends on 2026-08-31.</t>
  </si>
  <si>
    <t>resposta</t>
  </si>
  <si>
    <t>Q56</t>
  </si>
  <si>
    <t>Para o conjunto das filas «[SAC] INB MEDICARE» e «[SAC] - ENG», em setembro de 2026, apresenta o total bruto de chamadas recebidas, considerando apenas entradas de segunda a sexta-feira, a partir das 08h00 e antes das 20h00, hora de Lisboa, excluindo feriados nacionais.</t>
  </si>
  <si>
    <t>For queues "[SAC] INB MEDICARE" and "[SAC] - ENG", in September 2026, report the gross total of received calls,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</si>
  <si>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[2026-09-01, 2026-10-01[, de segunda a sexta, sem feriados nacionais portugueses; 08:00 ≤ hora local &lt; 20:00, Europe/Lisbon. Verificar a cobertura do período; sem cobertura suficiente, indicar não apurável, sem assumir zero ou extrapolar.</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</si>
  <si>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[2026-09-01, 2026-10-01), Monday–Friday, excluding Portuguese national holidays; 08:00 ≤ local hour &lt; 20:00, Europe/Lisbon. Check period coverage; if insufficient, report unavailable without assuming zero or extrapolating.</t>
  </si>
  <si>
    <t>Q57</t>
  </si>
  <si>
    <t>Outras campanhas</t>
  </si>
  <si>
    <t>Para a fila «[SAC] - IVR MEDICARE ValidaçãoDeCartões», em agosto de 2026, apresenta o total bruto de chamadas recebidas, considerando apenas entradas de segunda a sexta-feira, a partir das 08h00 e antes das 20h00, hora de Lisboa, excluindo feriados nacionais.</t>
  </si>
  <si>
    <t>For queue "[SAC] - IVR MEDICARE ValidaçãoDeCartões", in August 2026, report the gross total of received calls, including only entries from Monday to Friday, at or after 08:00 and before 20:00 Lisbon time, excluding Portuguese national holidays.</t>
  </si>
  <si>
    <t>Filas exatas: [SAC] - IVR MEDICARE ValidaçãoDeCartões.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Total bruto de SessionID recebidos, sem excluir esperas curtas e sem filtro de atendimento.</t>
  </si>
  <si>
    <t>Exact queues: [SAC] - IVR MEDICARE ValidaçãoDeCartões.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Gross total of received SessionIDs, without excluding short waits or filtering for answered calls.</t>
  </si>
  <si>
    <t>Q58</t>
  </si>
  <si>
    <t>Para o conjunto das filas «[SAC] INB MEDICARE», «[SAC] - ENG», «[SAC] - IVR MEDICARE ValidaçãoDeCartões», «[SAC] - IVR MEDICARE Marcação Consultas» e «[SAC] - IVR MEDICARE Adesões», em agosto de 2026, apresenta o total bruto de chamadas recebidas, considerando apenas entradas de segunda a sexta-feira, a partir das 08h00 e antes das 20h00, hora de Lisboa, excluindo feriados nacionais.</t>
  </si>
  <si>
    <t>For queues "[SAC] INB MEDICARE", "[SAC] - ENG", "[SAC] - IVR MEDICARE ValidaçãoDeCartões", "[SAC] - IVR MEDICARE Marcação Consultas" and "[SAC] - IVR MEDICARE Adesões", in August 2026, report the gross total of received calls, including only entries from Monday to Friday, at or after 08:00 and before 20:00 Lisbon time, excluding Portuguese national holidays.</t>
  </si>
  <si>
    <t>Filas exatas: [SAC] INB MEDICARE / [SAC] - ENG / [SAC] - IVR MEDICARE ValidaçãoDeCartões / [SAC] - IVR MEDICARE Marcação Consultas / [SAC] - IVR MEDICARE Adesões.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Total bruto de SessionID recebidos, sem excluir esperas curtas e sem filtro de atendimento.</t>
  </si>
  <si>
    <t>Exact queues: [SAC] INB MEDICARE / [SAC] - ENG / [SAC] - IVR MEDICARE ValidaçãoDeCartões / [SAC] - IVR MEDICARE Marcação Consultas / [SAC] - IVR MEDICARE Adesões.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Gross total of received SessionIDs, without excluding short waits or filtering for answered calls.</t>
  </si>
  <si>
    <t>Q59</t>
  </si>
  <si>
    <t>Para a fila «[SAC] - IVR MEDICARE Marcação Consultas», durante 2025, apresenta o total bruto de chamadas recebidas, considerando apenas entradas de segunda a sexta-feira, a partir das 08h00 e antes das 20h00, hora de Lisboa, excluindo feriados nacionais.</t>
  </si>
  <si>
    <t>For queue "[SAC] - IVR MEDICARE Marcação Consultas", during 2025, report the gross total of received calls, including only entries from Monday to Friday, at or after 08:00 and before 20:00 Lisbon time, excluding Portuguese national holidays.</t>
  </si>
  <si>
    <t>Filas exatas: [SAC] - IVR MEDICARE Marcação Consultas.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[2025-01-01, 2026-01-01[, de segunda a sexta, sem feriados nacionais portugueses; 08:00 ≤ hora local &lt; 20:00, Europe/Lisbon. Total bruto de SessionID recebidos, sem excluir esperas curtas e sem filtro de atendimento.</t>
  </si>
  <si>
    <t>Exact queues: [SAC] - IVR MEDICARE Marcação Consultas.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[2025-01-01, 2026-01-01), Monday–Friday, excluding Portuguese national holidays; 08:00 ≤ local hour &lt; 20:00, Europe/Lisbon. Gross total of received SessionIDs, without excluding short waits or filtering for answered calls.</t>
  </si>
  <si>
    <t>Q60</t>
  </si>
  <si>
    <t>Para o conjunto das filas «[SAC] INB MEDICARE», «[SAC] - ENG», «[SAC] - IVR MEDICARE ValidaçãoDeCartões», «[SAC] - IVR MEDICARE Marcação Consultas» e «[SAC] - IVR MEDICARE Adesões», em agosto de 2026, apresenta a percentagem global de chamadas atendidas que esperaram no máximo 30 segundos até ao primeiro atendimento, considerando apenas entradas de segunda a sexta-feira, a partir das 08h00 e antes das 20h00, hora de Lisboa, excluindo feriados nacionais.</t>
  </si>
  <si>
    <t>For queues "[SAC] INB MEDICARE", "[SAC] - ENG", "[SAC] - IVR MEDICARE ValidaçãoDeCartões", "[SAC] - IVR MEDICARE Marcação Consultas" and "[SAC] - IVR MEDICARE Adesões", in August 2026, report the combined percentage of answered calls that waited no more than 30 seconds until the first answer, including only entries from Monday to Friday, at or after 08:00 and before 20:00 Lisbon time, excluding Portuguese national holidays.</t>
  </si>
  <si>
    <t>Filas exatas: [SAC] INB MEDICARE / [SAC] - ENG / [SAC] - IVR MEDICARE ValidaçãoDeCartões / [SAC] - IVR MEDICARE Marcação Consultas / [SAC] - IVR MEDICARE Adesões.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Nas sessões recebidas, associar por SessionID as interações com Queue_Name no conjunto ou Campaign_Name no serviço correspondente; não juntar outros serviços. Atendida no serviço = existir uma interação Outcome = Connected, identificada por Campaign_Name; quando a campanha faltar, usar Queue_Name nessa interação. As restantes sessões recebidas são não atendidas no serviço; «abandono» é a convenção dos indicadores e não prova o motivo de desligamento. Espera = soma de Queue_Time_Seconds das interações na(s) fila(s) selecionada(s), ordenadas por Contact_Received_Timestamp e Interaction_ID, até à primeira Connected no serviço, inclusive; sem Connected no serviço, somar todas as esperas dessas filas. Cada Queue_Time_Seconds ausente conta como zero; não atribuir zero à sessão apenas por não existir atendimento. SLA ≤30 s = atendidas com espera ≤30 s / todas as atendidas. Incluir exatamente 30 s. Não incluir abandonadas no denominador. Calcular a partir dos totais do conjunto; não fazer a média dos SLA.</t>
  </si>
  <si>
    <t>Exact queues: [SAC] INB MEDICARE / [SAC] - ENG / [SAC] - IVR MEDICARE ValidaçãoDeCartões / [SAC] - IVR MEDICARE Marcação Consultas / [SAC] - IVR MEDICARE Adesões.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Within received sessions, link interactions by SessionID when Queue_Name is in the selected set or Campaign_Name identifies the corresponding service; do not combine other services. Answered in the service = at least one interaction with Outcome = Connected, identified by Campaign_Name, falling back to Queue_Name when the campaign is missing. Other received sessions are unanswered in that service; “abandonment” is the metric convention and does not prove who disconnected. Waiting time = sum of Queue_Time_Seconds from the selected queue interactions, ordered by Contact_Received_Timestamp and Interaction_ID, through the first Connected interaction in the service, inclusive; if there is no Connected interaction in the service, sum all waiting times in those queues. Each missing Queue_Time_Seconds is zero; do not set a session’s waiting time to zero just because it was not answered. SLA &lt;=30 s = answered sessions with waiting time &lt;=30 s / all answered sessions. Include exactly 30 s. Exclude unanswered sessions from the denominator. Calculate from combined totals, not an average of campaign SLA values.</t>
  </si>
  <si>
    <t>Q61</t>
  </si>
  <si>
    <t>Callbacks outbound</t>
  </si>
  <si>
    <t>Uma campanha</t>
  </si>
  <si>
    <t>Para a campanha «[SAC] - Callbacks», de 1 de janeiro de 2024 a 31 de agosto de 2026, apresenta o total de chamadas de saída por callback, contando cada chamada uma só vez mesmo que tenha várias tentativas, considerando apenas entradas de segunda a sexta-feira, a partir das 08h00 e antes das 20h00, hora de Lisboa, excluindo feriados nacionais.</t>
  </si>
  <si>
    <t>For campaign "[SAC] - Callbacks", from 1 January 2024 to 31 August 2026, report the total of outbound callback calls, counting each call once even if it had several attempts, including only entries from Monday to Friday, at or after 08:00 and before 20:00 Lisbon time, excluding Portuguese national holidays.</t>
  </si>
  <si>
    <t>Callbacks outbound: Campaign_Name = [SAC] - Callbacks, sem filtro de Outcome para o total efetuado. Agrupar por SessionID; entrada = MIN(Contact_Received_Timestamp) das interações dessa campanha.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[2024-01-01, 2026-09-01[, de segunda a sexta, sem feriados nacionais portugueses; 08:00 ≤ hora local &lt; 20:00, Europe/Lisbon. Contar sessões efetuadas, incluindo as não atendidas; não exigir Queue_Name.</t>
  </si>
  <si>
    <t>Outbound callbacks: Campaign_Name = [SAC] - Callbacks, without an Outcome filter for total calls made. Group by SessionID; entry = MIN(Contact_Received_Timestamp) of that campaign’s interactions.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[2024-01-01, 2026-09-01), Monday–Friday, excluding Portuguese national holidays; 08:00 ≤ local hour &lt; 20:00, Europe/Lisbon. Count callback sessions made, including unanswered calls; do not require Queue_Name.</t>
  </si>
  <si>
    <t>Q62</t>
  </si>
  <si>
    <t>Para a campanha «[SAC] - Callbacks», de 1 de janeiro de 2024 a 31 de agosto de 2026, apresenta o total de chamadas de saída por callback que chegaram a ser atendidas, contando cada chamada uma só vez mesmo que tenha várias tentativas, considerando apenas entradas de segunda a sexta-feira, a partir das 08h00 e antes das 20h00, hora de Lisboa, excluindo feriados nacionais.</t>
  </si>
  <si>
    <t>For campaign "[SAC] - Callbacks", from 1 January 2024 to 31 August 2026, report the total of answered outbound callback calls, counting each call once even if it had several attempts, including only entries from Monday to Friday, at or after 08:00 and before 20:00 Lisbon time, excluding Portuguese national holidays.</t>
  </si>
  <si>
    <t>Callbacks outbound: Campaign_Name = [SAC] - Callbacks, sem filtro de Outcome para o total efetuado. Agrupar por SessionID; entrada = MIN(Contact_Received_Timestamp) das interações dessa campanha.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[2024-01-01, 2026-09-01[, de segunda a sexta, sem feriados nacionais portugueses; 08:00 ≤ hora local &lt; 20:00, Europe/Lisbon. Contar uma sessão atendida se alguma interação da campanha for Connected; não exigir Queue_Name.</t>
  </si>
  <si>
    <t>Outbound callbacks: Campaign_Name = [SAC] - Callbacks, without an Outcome filter for total calls made. Group by SessionID; entry = MIN(Contact_Received_Timestamp) of that campaign’s interactions.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[2024-01-01, 2026-09-01), Monday–Friday, excluding Portuguese national holidays; 08:00 ≤ local hour &lt; 20:00, Europe/Lisbon. Count one answered session if any interaction in the callback campaign is Connected; do not require Queue_Name.</t>
  </si>
  <si>
    <t>Q63</t>
  </si>
  <si>
    <t>Ficheiro completo</t>
  </si>
  <si>
    <t>Apresenta o número de registos de todo o ficheiro sem campanha, mas com a fila preenchida, independentemente do estado de atendimento.</t>
  </si>
  <si>
    <t>Report the number of records across the whole file with no campaign but a populated queue, regardless of call outcome.</t>
  </si>
  <si>
    <t>Auditar todas as folhas e todos os dias e horas. Contar linhas de origem com Campaign_Name ausente e Queue_Name preenchido, sem qualquer filtro de Outcome. Tratar NULL da base, vazio e texto «NULL» como ausentes. Esta é uma contagem de registos; não somá-la ao volume de SessionID recebidos.</t>
  </si>
  <si>
    <t>Audit all sheets and all dates and times. Count source rows with missing Campaign_Name and populated Queue_Name, without any Outcome filter. Database NULLs, empty fields and literal "NULL" are missing. This counts records, not received SessionIDs; do not add it to call volume.</t>
  </si>
  <si>
    <t>registos</t>
  </si>
  <si>
    <t>Q64</t>
  </si>
  <si>
    <t>Apresenta o número de registos de todo o ficheiro que não têm nem campanha nem fila preenchidas, sem lhes atribuir um serviço por suposição.</t>
  </si>
  <si>
    <t>Report the number of records across the whole file with neither a populated campaign nor a queue, without guessing a service.</t>
  </si>
  <si>
    <t>Contar linhas com Campaign_Name e Queue_Name ambos vazios/NULL, em todas as folhas. Não imputar por outras interações da sessão, operador ou proximidade temporal. Distinguir falta de identificação de exclusão por Outcome NULL.</t>
  </si>
  <si>
    <t>Count rows where both Campaign_Name and Queue_Name are missing/NULL across all sheets. Do not infer a campaign from other session interactions, agents or nearby timestamps. Distinguish missing identification from exclusion due to NULL Outcome.</t>
  </si>
  <si>
    <t>registos (alerta)</t>
  </si>
  <si>
    <t>Q65</t>
  </si>
  <si>
    <t>Dados insuficientes</t>
  </si>
  <si>
    <t>Para a fila «[SAC] INB MEDICARE», em agosto de 2026, apresenta a taxa de ocupação dos operadores, considerando apenas entradas de segunda a sexta-feira, a partir das 08h00 e antes das 20h00, hora de Lisboa, excluindo feriados nacionais.</t>
  </si>
  <si>
    <t>For queue "[SAC] INB MEDICARE", in August 2026, report agent occupancy, including only entries from Monday to Friday, at or after 08:00 and before 20:00 Lisbon time, excluding Portuguese national holidays.</t>
  </si>
  <si>
    <t>Filas exatas: [SAC] INB MEDICARE.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A ocupação exige tempo ocupado e tempo total disponível, ou tempo Ready para completar esse denominador. Sem estes dados, responder não calculável; não inferir por AHT, turnos, número de agentes ou FTE.</t>
  </si>
  <si>
    <t>Exact queues: [SAC] INB MEDICARE.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Occupancy requires handling time and total available time, or Ready time to complete that denominator. Without these data, report not calculable; do not infer it from AHT, shifts, agent counts or FTE.</t>
  </si>
  <si>
    <t>Não calculável: falta o tempo disponível/Ready dos operadores. / Cannot be calculated: agent available/Ready time is missing.</t>
  </si>
  <si>
    <t>Q66</t>
  </si>
  <si>
    <t>Para o conjunto das filas «[SAC] INB MEDICARE» e «[SAC] - ENG», em agosto de 2026, apresenta a taxa de ocupação dos operadores, considerando apenas entradas de segunda a sexta-feira, a partir das 08h00 e antes das 20h00, hora de Lisboa, excluindo feriados nacionais.</t>
  </si>
  <si>
    <t>For queues "[SAC] INB MEDICARE" and "[SAC] - ENG", in August 2026, report agent occupancy, including only entries from Monday to Friday, at or after 08:00 and before 20:00 Lisbon time, excluding Portuguese national holidays.</t>
  </si>
  <si>
    <t>Filas exatas: [SAC] INB MEDICARE / [SAC] - ENG. Recebidas = SessionID distintos com Queue_Name numa destas filas, sem filtro de Outcome e sem exigir Campaign_Name. Não limitar a população recebida a Connected. Entrada = MIN(Contact_Received_Timestamp) das interações com Queue_Name no conjunto selecionado. Contar cada SessionID uma vez no conjunto. Interaction_ID identifica a interação; deduplicar o par SessionID + Interaction_ID antes de somar tempos ou contar interações. NULL da base de dados, vazio e texto literal «NULL» são ausências. Após formar as sessões, filtrar a entrada em [2026-08-01, 2026-09-01[, de segunda a sexta, sem feriados nacionais portugueses; 08:00 ≤ hora local &lt; 20:00, Europe/Lisbon. A ocupação exige tempo ocupado e tempo total disponível, ou tempo Ready para completar esse denominador. Sem estes dados, responder não calculável; não inferir por AHT, turnos, número de agentes ou FTE.</t>
  </si>
  <si>
    <t>Exact queues: [SAC] INB MEDICARE / [SAC] - ENG. Received calls = distinct SessionIDs with Queue_Name in these queues, without filtering Outcome or requiring Campaign_Name. Do not restrict the received population to Connected. Entry = MIN(Contact_Received_Timestamp) of interactions whose Queue_Name is in the selected set. Count each SessionID once across the group. Interaction_ID identifies an interaction; deduplicate SessionID + Interaction_ID before summing time or counting interactions. Database NULLs, empty fields and the literal text "NULL" are missing values. After forming sessions, filter entry in [2026-08-01, 2026-09-01), Monday–Friday, excluding Portuguese national holidays; 08:00 ≤ local hour &lt; 20:00, Europe/Lisbon. Occupancy requires handling time and total available time, or Ready time to complete that denominator. Without these data, report not calculable; do not infer it from AHT, shifts, agent counts or FTE.</t>
  </si>
  <si>
    <t>Cálculos das respostas esperadas</t>
  </si>
  <si>
    <t>Entradas inbound por Queue_Name sem filtro de Outcome; atendimento e tempos apurados dentro das sessões recebidas.</t>
  </si>
  <si>
    <t>Código</t>
  </si>
  <si>
    <t>Campanhas</t>
  </si>
  <si>
    <t>Início</t>
  </si>
  <si>
    <t>Fim inclusive</t>
  </si>
  <si>
    <t>Horário de entrada</t>
  </si>
  <si>
    <t>Chamadas brutas</t>
  </si>
  <si>
    <t>Atendidas</t>
  </si>
  <si>
    <t>Abandonadas brutas</t>
  </si>
  <si>
    <t>Abandonos &lt; 30 s</t>
  </si>
  <si>
    <t>Recebidas ajustadas</t>
  </si>
  <si>
    <t>Abandonos ≥ 30 s</t>
  </si>
  <si>
    <t>Interações de origem</t>
  </si>
  <si>
    <t>Sessões com várias interações</t>
  </si>
  <si>
    <t>Atendidas ≤ 30 s</t>
  </si>
  <si>
    <t>SLA ≤ 30 s</t>
  </si>
  <si>
    <t>Soma de espera atendidas (s)</t>
  </si>
  <si>
    <t>ASA (s)</t>
  </si>
  <si>
    <t>Sessões com conversação completa</t>
  </si>
  <si>
    <t>Soma de conversação (s)</t>
  </si>
  <si>
    <t>Conversação média (s)</t>
  </si>
  <si>
    <t>Sessões com hold completo</t>
  </si>
  <si>
    <t>Soma de hold (s)</t>
  </si>
  <si>
    <t>Hold médio (s)</t>
  </si>
  <si>
    <t>Sessões com ACW completo</t>
  </si>
  <si>
    <t>Soma de ACW (s)</t>
  </si>
  <si>
    <t>ACW médio (s)</t>
  </si>
  <si>
    <t>Sessões completas para AHT</t>
  </si>
  <si>
    <t>Conversação amostra AHT (s)</t>
  </si>
  <si>
    <t>Hold amostra AHT (s)</t>
  </si>
  <si>
    <t>ACW amostra AHT (s)</t>
  </si>
  <si>
    <t>Tratamento total amostra AHT (s)</t>
  </si>
  <si>
    <t>AHT (s)</t>
  </si>
  <si>
    <t>Horas de tratamento completas</t>
  </si>
  <si>
    <t>Eficiência ajustada</t>
  </si>
  <si>
    <t>Taxa bruta de abandono</t>
  </si>
  <si>
    <t>Taxa sem abandonos curtos</t>
  </si>
  <si>
    <t>Operadores distintos</t>
  </si>
  <si>
    <t>Atendidas com hold em falta</t>
  </si>
  <si>
    <t>Atendidas com ACW em falta</t>
  </si>
  <si>
    <t>Atendidas com conversação em falta</t>
  </si>
  <si>
    <t>Data com mais entradas</t>
  </si>
  <si>
    <t>Hora com mais entradas</t>
  </si>
  <si>
    <t>INB_AUG2024</t>
  </si>
  <si>
    <t>[SAC] INB MEDICARE</t>
  </si>
  <si>
    <t>Dias úteis, 08:00 ≤ hora &lt; 20:00</t>
  </si>
  <si>
    <t>11:00–12:00</t>
  </si>
  <si>
    <t>INB_AUG2025</t>
  </si>
  <si>
    <t>INB_AUG2026</t>
  </si>
  <si>
    <t>INB_JUL2026</t>
  </si>
  <si>
    <t>INB_AUG2026_08</t>
  </si>
  <si>
    <t>Dias úteis, 08:00 ≤ hora &lt; 09:00</t>
  </si>
  <si>
    <t>08:00–09:00</t>
  </si>
  <si>
    <t>INB_AUG2026_19</t>
  </si>
  <si>
    <t>Dias úteis, 19:00 ≤ hora &lt; 20:00</t>
  </si>
  <si>
    <t>19:00–20:00</t>
  </si>
  <si>
    <t>INB_JUN10</t>
  </si>
  <si>
    <t>IE_AUG2024</t>
  </si>
  <si>
    <t>[SAC] INB MEDICARE + [SAC] - ENG</t>
  </si>
  <si>
    <t>IE_AUG2025</t>
  </si>
  <si>
    <t>IE_AUG2026</t>
  </si>
  <si>
    <t>IE_JUL2026</t>
  </si>
  <si>
    <t>IE_AUG2026_08</t>
  </si>
  <si>
    <t>IE_AUG2026_19</t>
  </si>
  <si>
    <t>IE_JUN10</t>
  </si>
  <si>
    <t>VAL_AUG2026</t>
  </si>
  <si>
    <t>[SAC] - IVR MEDICARE ValidaçãoDeCartões</t>
  </si>
  <si>
    <t>10:00–11:00</t>
  </si>
  <si>
    <t>MAIN5_AUG2026</t>
  </si>
  <si>
    <t>[SAC] INB MEDICARE + [SAC] - ENG + [SAC] - IVR MEDICARE ValidaçãoDeCartões + [SAC] - IVR MEDICARE Marcação Consultas + [SAC] - IVR MEDICARE Adesões</t>
  </si>
  <si>
    <t>CB_ALL</t>
  </si>
  <si>
    <t>[SAC] - Callbacks</t>
  </si>
  <si>
    <t>15:00–16:00</t>
  </si>
  <si>
    <t>MC_2025</t>
  </si>
  <si>
    <t>[SAC] - IVR MEDICARE Marcação Consultas</t>
  </si>
  <si>
    <t>14:00–15:00</t>
  </si>
  <si>
    <t>Comparações de volume</t>
  </si>
  <si>
    <t>Pergunta</t>
  </si>
  <si>
    <t>Comparação</t>
  </si>
  <si>
    <t>Volume atual</t>
  </si>
  <si>
    <t>Volume de referência</t>
  </si>
  <si>
    <t>Diferença (chamadas)</t>
  </si>
  <si>
    <t>Variação (%)</t>
  </si>
  <si>
    <t>INB_AUG2026 face a INB_JUL2026</t>
  </si>
  <si>
    <t>IE_AUG2026 face a IE_JUL2026</t>
  </si>
  <si>
    <t>INB_AUG2026 face a INB_AUG2025</t>
  </si>
  <si>
    <t>IE_AUG2026 face a IE_AUG2025</t>
  </si>
  <si>
    <t>Regras e fonte</t>
  </si>
  <si>
    <t>Definições por indicador: a entrada na fila determina recebidas; Connected determina atendimento.</t>
  </si>
  <si>
    <t>Fonte</t>
  </si>
  <si>
    <t>AMA_POC_Medicare_Data_Collection 01_Call_Logs(1).xlsx. Folhas: 2024, 2025 e 2026.</t>
  </si>
  <si>
    <t>Cobertura</t>
  </si>
  <si>
    <t>02/01/2024 a 31/08/2026. A folha 2026 não contém setembro nem meses posteriores.</t>
  </si>
  <si>
    <t>Feriados nacionais</t>
  </si>
  <si>
    <t>https://diariodarepublica.pt/dr/legislacao-consolidada/lei/2009-34546475-46746675</t>
  </si>
  <si>
    <t>Regra</t>
  </si>
  <si>
    <t>Definição</t>
  </si>
  <si>
    <t>Valor</t>
  </si>
  <si>
    <t>Unidade de contagem</t>
  </si>
  <si>
    <t>Uma chamada por SessionID. Interaction_ID identifica uma interação; deduplicar o par SessionID + Interaction_ID antes de somar tempos ou contar interações. Várias interações não geram várias chamadas. A auditoria de registos de origem é uma exceção explícita à contagem por sessão.</t>
  </si>
  <si>
    <t>População recebida</t>
  </si>
  <si>
    <t>Inbound: selecionar Queue_Name nas filas exatas pedidas, independentemente de Outcome e de Campaign_Name. Não aplicar Connected como filtro das recebidas. Uma chamada entra na população se tiver uma interação identificada na fila; ausência de campanha não elimina essa entrada. NULL da base, vazio e texto «NULL» são ausências.</t>
  </si>
  <si>
    <t>Conjuntos de filas</t>
  </si>
  <si>
    <t>Selecionar as filas exatas e agrupar por SessionID no conjunto. Uma chamada conta uma vez mesmo que passe por várias filas selecionadas. Para atendimento e tempos, associar apenas interações da sessão nas filas ou campanhas dos serviços selecionados; não juntar outros serviços.</t>
  </si>
  <si>
    <t>Entrada da chamada</t>
  </si>
  <si>
    <t>Inbound: entrada = menor Contact_Received_Timestamp das interações com Queue_Name nas filas selecionadas. Callbacks: usar a primeira interação da campanha. Aplicar os filtros à entrada da sessão, após agrupar. No Excel, converter UTC para Europe/Lisbon. Se a coluna da AMA já estiver em hora local, não converter novamente. GMT/UTC têm desfasamento zero; Lisboa tem UTC+1 no verão e UTC+0 no inverno.</t>
  </si>
  <si>
    <t>Horário e calendário</t>
  </si>
  <si>
    <t>Segunda a sexta-feira, das 08h00 inclusive às 20h00 exclusive, em Europe/Lisbon. Respeitar automaticamente a hora de verão/inverno: UTC+1 no verão e UTC+0 no inverno. Excluir feriados nacionais portugueses. Não excluir Carnaval, feriados municipais ou regionais. As interações posteriores da mesma chamada permanecem nos tempos se a entrada da chamada for elegível.</t>
  </si>
  <si>
    <t>Atendimento no serviço</t>
  </si>
  <si>
    <t>Nas sessões recebidas, atendida no serviço significa existir uma interação Connected identificada pela Campaign_Name do serviço, ou Queue_Name se faltar campanha nessa interação. As restantes são não atendidas no serviço. «Abandono» é a convenção dos indicadores; Outcome NULL não prova quem desligou. O filtro Connected não altera a população recebida.</t>
  </si>
  <si>
    <t>Entrada e saída</t>
  </si>
  <si>
    <t>Apenas [SAC] - Callbacks é outbound, segundo a definição confirmada. As recebidas inbound são entradas nas filas pedidas. As duas perguntas de callbacks selecionam a respetiva Campaign_Name, sem exigir Queue_Name: o total efetuado inclui atendidas e não atendidas; o total atendido exige Connected.</t>
  </si>
  <si>
    <t>Espera por sessão</t>
  </si>
  <si>
    <t>Somar Queue_Time_Seconds das interações nas filas selecionadas, ordenadas por Contact_Received_Timestamp e Interaction_ID, até à primeira Connected no serviço, inclusive. Sem Connected no serviço, somar todas as esperas dessas filas. Um tempo de fila ausente conta como zero em cada interação; a ausência de atendimento não torna a soma zero.</t>
  </si>
  <si>
    <t>Recebidas brutas</t>
  </si>
  <si>
    <t>Todos os SessionID com entrada elegível nas filas pedidas, sem exigir Campaign_Name e sem filtrar Outcome ou duração de espera. Brutas = atendidas + não atendidas no serviço. Incluir não atendidas com menos de 30 segundos.</t>
  </si>
  <si>
    <t>Retirar apenas sessões recebidas sem atendimento no serviço e com espera total &lt;30 segundos. Manter todas as atendidas e todas as não atendidas com espera ≥30 segundos. Ajustadas = brutas − não atendidas &lt;30 s = atendidas + não atendidas ≥30 s.</t>
  </si>
  <si>
    <t>SLA até 30 segundos</t>
  </si>
  <si>
    <t>Atendidas com espera acumulada ≤ 30 segundos / todas as atendidas. Incluir exatamente 30 segundos. Excluir todas as abandonadas do denominador. Recalcular o rácio a partir dos totais do conjunto de campanhas.</t>
  </si>
  <si>
    <t>Taxas de abandono</t>
  </si>
  <si>
    <t>Taxa bruta = não atendidas / recebidas brutas. Taxa sem esperas curtas = não atendidas com espera ≥30 s / recebidas ajustadas. A população recebida é sempre formada primeiro pelas filas. Numerador e denominador têm de usar o mesmo conjunto de sessões.</t>
  </si>
  <si>
    <t>Tempos de tratamento</t>
  </si>
  <si>
    <t>Conversação, hold e ACW são componentes separados e aditivos, conforme definição confirmada. Somar apenas interações Connected do universo. Os totais por sessão resultam da soma dos seus componentes. Preview não é adicionado porque não está disponível.</t>
  </si>
  <si>
    <t>Ausência de tempos</t>
  </si>
  <si>
    <t>Um valor NULL de conversação, hold ou ACW é ausência de dados. Um zero é um valor válido. Para a média de um componente, excluir a sessão se esse componente faltar em qualquer interação Connected. Para o AHT e as horas de tratamento, exigir os três componentes completos em todas essas interações.</t>
  </si>
  <si>
    <t>AHT e carga de trabalho</t>
  </si>
  <si>
    <t>AHT = soma de conversação + hold + ACW da amostra completa / chamadas atendidas completas. Horas de tratamento = o mesmo numerador / 3600. A média de cada componente pode ter uma amostra diferente; não somar médias calculadas sobre amostras distintas para obter o AHT.</t>
  </si>
  <si>
    <t>Operadores e ocupação</t>
  </si>
  <si>
    <t>Operadores distintos = Handling_Agent_ID distintos nas interações Connected das chamadas elegíveis. Não representa FTE. A ocupação não é calculável porque falta o tempo disponível/Ready dos operadores.</t>
  </si>
  <si>
    <t>Precisão das respostas</t>
  </si>
  <si>
    <t>Contagens e datas têm de coincidir exatamente. Tempos, horas e percentagens são apresentados com duas casas decimais. Comparar os valores após arredondamento: tolerância até 0,01 s, 0,01 h ou 0,01 ponto percentual, conforme a unidade.</t>
  </si>
  <si>
    <t>Uso das perguntas</t>
  </si>
  <si>
    <t>Cada pedido PT/EN é uma frase completa, sem perguntas ou instruções intercalares. Enviar apenas a coluna D ou E à AMA. As colunas F/G são a grelha técnica do avaliador: identificam os campos, a população e os filtros próprios do indicador pedido. As regras de qualidade e contagem são aplicadas sem repetir uma especificação SQL no pedido. Usar os IDs Q01–Q66 para identificar os resultados.</t>
  </si>
  <si>
    <t>Diagnóstico do ficheiro completo</t>
  </si>
  <si>
    <t>Descrição</t>
  </si>
  <si>
    <t>Linhas de origem, sem filtros de horário nem de campanha.</t>
  </si>
  <si>
    <t>Sessões distintas no ficheiro completo, incluindo todos os horários e callbacks.</t>
  </si>
  <si>
    <t>sessões</t>
  </si>
  <si>
    <t>Atribuição</t>
  </si>
  <si>
    <t>Campaign_Name vazio ou NULL, antes de usar a fila.</t>
  </si>
  <si>
    <t>Registos de origem com Campaign_Name ausente e Queue_Name preenchido, independentemente de Outcome. São identificáveis pela fila para a população recebida; a auditoria conta linhas e não deve ser somada ao total de chamadas por SessionID.</t>
  </si>
  <si>
    <t>Alerta de atribuição</t>
  </si>
  <si>
    <t>Sem campanha identificável: Campaign_Name e Queue_Name estão ambos vazios/NULL. Origem: folha 2026, linha 226299, entrada em 08/06/2026 às 14:05:01 UTC (15:05:01 em Europe/Lisbon).</t>
  </si>
  <si>
    <t>Callbacks na origem</t>
  </si>
  <si>
    <t>Interações da campanha [SAC] - Callbacks, antes dos filtros de horário.</t>
  </si>
  <si>
    <t>interações</t>
  </si>
  <si>
    <t>Sessões distintas da campanha [SAC] - Callbacks, antes dos filtros de horário.</t>
  </si>
  <si>
    <t>Folha 2024</t>
  </si>
  <si>
    <t>Registos de origem. Cobertura: 2024-01-02 a 2024-12-31.</t>
  </si>
  <si>
    <t>Folha 2025</t>
  </si>
  <si>
    <t>Registos de origem. Cobertura: 2025-01-01 a 2025-12-31.</t>
  </si>
  <si>
    <t>Folha 2026</t>
  </si>
  <si>
    <t>Registos de origem. Cobertura: 2026-01-01 a 2026-08-31.</t>
  </si>
  <si>
    <t>Serviços identificados na origem por campanha ou fila, antes dos filtros de horário</t>
  </si>
  <si>
    <t>Nome exato do serviço</t>
  </si>
  <si>
    <t>Registos</t>
  </si>
  <si>
    <t>Sessões</t>
  </si>
  <si>
    <t>Todos os horários</t>
  </si>
  <si>
    <t>[SAC] - ENG</t>
  </si>
  <si>
    <t>[SAC] - MC FalarOp</t>
  </si>
  <si>
    <t>[SAC] - MC InfoG</t>
  </si>
  <si>
    <t>[GERAL] - IVR MEDICARE v2</t>
  </si>
  <si>
    <t>[SAC BO] - Marcação Consultas</t>
  </si>
  <si>
    <t>[SAC] - MC InfoRM</t>
  </si>
  <si>
    <t>[SAC] - MC Fat</t>
  </si>
  <si>
    <t>[SAC] - IVR MEDICARE Adesões</t>
  </si>
  <si>
    <t>[COLLAB] - SemCampanhaDummy</t>
  </si>
  <si>
    <t>[GERAL] - IVR MEDICARE GATEWAY</t>
  </si>
  <si>
    <t>[GERAL] - IVR MEDICARE Auto</t>
  </si>
  <si>
    <t>Sem campanha identificável</t>
  </si>
  <si>
    <t>Calendário de feriados nacionais</t>
  </si>
  <si>
    <t>Ano</t>
  </si>
  <si>
    <t>Feriado</t>
  </si>
  <si>
    <t>Data</t>
  </si>
  <si>
    <t>Dia da semana</t>
  </si>
  <si>
    <t>Ano Novo</t>
  </si>
  <si>
    <t>segunda-feira</t>
  </si>
  <si>
    <t>Sexta-Feira Santa</t>
  </si>
  <si>
    <t>sexta-feira</t>
  </si>
  <si>
    <t>Domingo de Páscoa</t>
  </si>
  <si>
    <t>domingo</t>
  </si>
  <si>
    <t>Dia da Liberdade</t>
  </si>
  <si>
    <t>quinta-feira</t>
  </si>
  <si>
    <t>Dia do Trabalhador</t>
  </si>
  <si>
    <t>quarta-feira</t>
  </si>
  <si>
    <t>Corpo de Deus</t>
  </si>
  <si>
    <t>Dia de Portugal</t>
  </si>
  <si>
    <t>Assunção de Nossa Senhora</t>
  </si>
  <si>
    <t>Implantação da República</t>
  </si>
  <si>
    <t>sábado</t>
  </si>
  <si>
    <t>Dia de Todos os Santos</t>
  </si>
  <si>
    <t>Restauração da Independência</t>
  </si>
  <si>
    <t>Imaculada Conceição</t>
  </si>
  <si>
    <t>Natal</t>
  </si>
  <si>
    <t>terça-feira</t>
  </si>
  <si>
    <t>Testes de stress — clarificação e controlo</t>
  </si>
  <si>
    <t>Iniciar nova conversa por teste, fornecer apenas o contexto C e enviar o pedido D ou E; critérios e respostas ficam com o avaliador.</t>
  </si>
  <si>
    <t>Falha: apresentar um total sem um filtro essencial. Aceitar clarificações equivalentes; não exigir a frase exata.</t>
  </si>
  <si>
    <t>Start a new conversation for each test, establish only context C and send request D or E; keep criteria and expected answers with the evaluator.</t>
  </si>
  <si>
    <t>Contexto / Context (PT/EN)</t>
  </si>
  <si>
    <t>Question (EN)</t>
  </si>
  <si>
    <t>Critérios (PT)</t>
  </si>
  <si>
    <t>Criteria (EN)</t>
  </si>
  <si>
    <t>Resposta esperada (PT)</t>
  </si>
  <si>
    <t>Expected response (EN)</t>
  </si>
  <si>
    <t>Valor de controlo</t>
  </si>
  <si>
    <t>S01</t>
  </si>
  <si>
    <t>Campanha em falta</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</si>
  <si>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t>
  </si>
  <si>
    <t>Apresenta as chamadas atendidas de agosto de 2026.</t>
  </si>
  <si>
    <t>Report answered calls for August 2026.</t>
  </si>
  <si>
    <t>Se faltar um parâmetro essencial, pedir apenas esse esclarecimento e não apresentar um total definitivo antes da resposta. Não assumir todas as campanhas nem o período mais recente. O período e a métrica estão definidos; falta apenas o universo de campanhas.</t>
  </si>
  <si>
    <t>If an essential parameter is missing, ask only for that clarification and do not return a definitive total first. Do not assume all campaigns or the latest period. The period and metric are defined; only campaign scope is missing.</t>
  </si>
  <si>
    <t>Perguntar se pretende todas as campanhas, uma campanha ou um conjunto específico; pode apresentar INB MEDICARE e ENG como opções. Não dar um total.</t>
  </si>
  <si>
    <t>Ask whether all campaigns, one campaign or a specified set is intended; INB MEDICARE and ENG may be offered as options. Do not return a total.</t>
  </si>
  <si>
    <t>S02</t>
  </si>
  <si>
    <t>Período em falta</t>
  </si>
  <si>
    <t>Apresenta as chamadas atendidas da campanha [SAC] INB MEDICARE.</t>
  </si>
  <si>
    <t>Report answered calls for campaign [SAC] INB MEDICARE.</t>
  </si>
  <si>
    <t>Se faltar um parâmetro essencial, pedir apenas esse esclarecimento e não apresentar um total definitivo antes da resposta. Não assumir todas as campanhas nem o período mais recente. A campanha e a métrica estão definidas; falta o período.</t>
  </si>
  <si>
    <t>If an essential parameter is missing, ask only for that clarification and do not return a definitive total first. Do not assume all campaigns or the latest period. Campaign and metric are defined; the date range is missing.</t>
  </si>
  <si>
    <t>Pedir data inicial e final. Não perguntar novamente a campanha.</t>
  </si>
  <si>
    <t>Ask for the start and end dates. Do not ask for the campaign again.</t>
  </si>
  <si>
    <t>S03</t>
  </si>
  <si>
    <t>Campanha e período em falta</t>
  </si>
  <si>
    <t>PT/EN: Sem contexto anterior / No prior context.</t>
  </si>
  <si>
    <t>Quero as chamadas atendidas do período.</t>
  </si>
  <si>
    <t>I want answered calls for the period.</t>
  </si>
  <si>
    <t>Se faltar um parâmetro essencial, pedir apenas esse esclarecimento e não apresentar um total definitivo antes da resposta. Não assumir todas as campanhas nem o período mais recente. Não existe um período nem um universo definidos no contexto.</t>
  </si>
  <si>
    <t>If an essential parameter is missing, ask only for that clarification and do not return a definitive total first. Do not assume all campaigns or the latest period. Neither a date range nor a campaign scope has been established.</t>
  </si>
  <si>
    <t>Pedir o período e se pretende todas as campanhas, uma campanha ou um conjunto. Não inventar o significado de «período».</t>
  </si>
  <si>
    <t>Ask for the period and whether all campaigns, one campaign or a set is intended. Do not invent a meaning for “the period”.</t>
  </si>
  <si>
    <t>S04</t>
  </si>
  <si>
    <t>Métrica em falta</t>
  </si>
  <si>
    <t>Apresenta os resultados da campanha [SAC] INB MEDICARE em agosto de 2026.</t>
  </si>
  <si>
    <t>Report results for campaign [SAC] INB MEDICARE in August 2026.</t>
  </si>
  <si>
    <t>Se faltar um parâmetro essencial, pedir apenas esse esclarecimento e não apresentar um total definitivo antes da resposta. Não assumir todas as campanhas nem o período mais recente. Não escolher entre entradas, atendidas e não atendidas.</t>
  </si>
  <si>
    <t>If an essential parameter is missing, ask only for that clarification and do not return a definitive total first. Do not assume all campaigns or the latest period. Do not choose silently between incoming, answered and unanswered calls.</t>
  </si>
  <si>
    <t>Perguntar que indicador pretende: entradas, atendidas ou não atendidas/abandono.</t>
  </si>
  <si>
    <t>Ask which metric is intended: incoming, answered, or unanswered/abandoned calls.</t>
  </si>
  <si>
    <t>S05</t>
  </si>
  <si>
    <t>Recebidas ambíguas</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</si>
  <si>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 PT/EN: A variante de recebidas ainda não foi escolhida / Received-call variant not yet selected.</t>
  </si>
  <si>
    <t>Apresenta o abandono da campanha [SAC] INB MEDICARE em agosto de 2026.</t>
  </si>
  <si>
    <t>Report abandonment for campaign [SAC] INB MEDICARE in August 2026.</t>
  </si>
  <si>
    <t>Se faltar um parâmetro essencial, pedir apenas esse esclarecimento e não apresentar um total definitivo antes da resposta. Não assumir todas as campanhas nem o período mais recente. Não escolher entre volume bruto e ajustado.</t>
  </si>
  <si>
    <t>If an essential parameter is missing, ask only for that clarification and do not return a definitive total first. Do not assume all campaigns or the latest period. Do not choose between gross and adjusted received volume.</t>
  </si>
  <si>
    <t>Perguntar se inclui todos os abandonos curtos ou exclui apenas não atendidas com espera &lt;30 s.</t>
  </si>
  <si>
    <t>Ask whether to include all short abandons or exclude only unanswered sessions with waiting time &lt;30 s.</t>
  </si>
  <si>
    <t>S06</t>
  </si>
  <si>
    <t>SLA sem definição</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</si>
  <si>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 PT/EN: Sem definição anterior de SLA / No prior SLA definition.</t>
  </si>
  <si>
    <t>Apresenta o SLA da campanha [SAC] INB MEDICARE em agosto de 2026.</t>
  </si>
  <si>
    <t>Report SLA for campaign [SAC] INB MEDICARE in August 2026.</t>
  </si>
  <si>
    <t>Se faltar um parâmetro essencial, pedir apenas esse esclarecimento e não apresentar um total definitivo antes da resposta. Não assumir todas as campanhas nem o período mais recente. Faltam o limite de espera e o denominador.</t>
  </si>
  <si>
    <t>If an essential parameter is missing, ask only for that clarification and do not return a definitive total first. Do not assume all campaigns or the latest period. The waiting-time threshold and denominator are missing.</t>
  </si>
  <si>
    <t>Pedir o limite de espera e se o denominador são atendidas ou recebidas.</t>
  </si>
  <si>
    <t>Ask for the waiting-time threshold and whether the denominator is answered or received calls.</t>
  </si>
  <si>
    <t>S07</t>
  </si>
  <si>
    <t>Controlo: uma campanha</t>
  </si>
  <si>
    <t>Apresenta o total de chamadas atendidas da fila [SAC] INB MEDICARE em agosto de 2026.</t>
  </si>
  <si>
    <t>Report total answered calls for queue [SAC] INB MEDICARE in August 2026.</t>
  </si>
  <si>
    <t>Campanha, período, métrica e regras definidos; responder sem pedir filtros adicionais.</t>
  </si>
  <si>
    <t>Campaign, period, metric and rules are defined; answer without asking for more filters.</t>
  </si>
  <si>
    <t>Responder 35 913 chamadas atendidas.</t>
  </si>
  <si>
    <t>Return 35,913 answered calls.</t>
  </si>
  <si>
    <t>S08</t>
  </si>
  <si>
    <t>Controlo: várias campanhas</t>
  </si>
  <si>
    <t>Apresenta o total de chamadas atendidas do conjunto das filas [SAC] INB MEDICARE e [SAC] - ENG em agosto de 2026.</t>
  </si>
  <si>
    <t>Report total answered calls for queues [SAC] INB MEDICARE and [SAC] - ENG together in August 2026.</t>
  </si>
  <si>
    <t>União das duas campanhas explicitadas; não perguntar se pretende todas.</t>
  </si>
  <si>
    <t>The two-campaign union is explicit; do not ask whether all campaigns are intended.</t>
  </si>
  <si>
    <t>Responder 36 148 chamadas atendidas.</t>
  </si>
  <si>
    <t>Return 36,148 answered calls.</t>
  </si>
  <si>
    <t>S09</t>
  </si>
  <si>
    <t>Controlo: todas explicitadas</t>
  </si>
  <si>
    <t>Quero as atendidas de agosto de 2026 de todas estas cinco campanhas: [SAC] INB MEDICARE, [SAC] - ENG, [SAC] - IVR MEDICARE ValidaçãoDeCartões, [SAC] - IVR MEDICARE Marcação Consultas, [SAC] - IVR MEDICARE Adesões.</t>
  </si>
  <si>
    <t>I want August 2026 answered calls for all five of these campaigns: [SAC] INB MEDICARE, [SAC] - ENG, [SAC] - IVR MEDICARE ValidaçãoDeCartões, [SAC] - IVR MEDICARE Marcação Consultas, [SAC] - IVR MEDICARE Adesões.</t>
  </si>
  <si>
    <t>«Todas» refere-se à lista explícita de cinco campanhas; não expandir nem pedir de novo a campanha.</t>
  </si>
  <si>
    <t>“All” refers to the explicit five-campaign list; do not expand it or ask for campaign scope again.</t>
  </si>
  <si>
    <t>Responder 36 359 chamadas atendidas.</t>
  </si>
  <si>
    <t>Return 36,359 answered calls.</t>
  </si>
  <si>
    <t>S10</t>
  </si>
  <si>
    <t>Resposta à clarificação</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</si>
  <si>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 PT: A AMA perguntou quais campanhas para atendidas de agosto de 2026. / EN: AMA asked which campaigns for August 2026 answered calls.</t>
  </si>
  <si>
    <t>Apenas [SAC] - ENG.</t>
  </si>
  <si>
    <t>Only [SAC] - ENG.</t>
  </si>
  <si>
    <t>Usar período e métrica do contexto; aplicar apenas a campanha agora escolhida.</t>
  </si>
  <si>
    <t>Retain the period and metric from context; use only the campaign now selected.</t>
  </si>
  <si>
    <t>Responder 235 atendidas, sem voltar a pedir o período.</t>
  </si>
  <si>
    <t>Return 235 answered calls without asking for the period again.</t>
  </si>
  <si>
    <t>S11</t>
  </si>
  <si>
    <t>Continuidade do período</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</si>
  <si>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 PT/EN: Pedido anterior / Previous request: recebidas ajustadas / adjusted received calls, [SAC] INB MEDICARE, julho / July 2026.</t>
  </si>
  <si>
    <t>E em agosto</t>
  </si>
  <si>
    <t>And in August</t>
  </si>
  <si>
    <t>Conservar campanha, ano e métrica do contexto; alterar apenas o mês.</t>
  </si>
  <si>
    <t>Retain campaign, year and metric from context; change only the month.</t>
  </si>
  <si>
    <t>Responder 37 028 recebidas ajustadas em agosto de 2026.</t>
  </si>
  <si>
    <t>Return 37,028 adjusted received calls in August 2026.</t>
  </si>
  <si>
    <t>S12</t>
  </si>
  <si>
    <t>Conjunto definido no contexto</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</si>
  <si>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 PT/EN: As duas campanhas acabadas de definir são / The two campaigns just defined are [SAC] INB MEDICARE e/and [SAC] - ENG; métrica/metric: atendidas/answered; agosto/August 2026.</t>
  </si>
  <si>
    <t>Quero as duas em conjunto.</t>
  </si>
  <si>
    <t>I want both together.</t>
  </si>
  <si>
    <t>O contexto resolve «as duas»; deduplicar sessões na união, sem nova clarificação.</t>
  </si>
  <si>
    <t>Context resolves “both”; deduplicate sessions across the union without further clarification.</t>
  </si>
  <si>
    <t>Responder 36 148 atendidas.</t>
  </si>
  <si>
    <t>S13</t>
  </si>
  <si>
    <t>Substituição de filtro</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</si>
  <si>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 PT/EN: Pedido anterior / Previous request: [SAC] INB MEDICARE, atendidas/answered, agosto/August 2026.</t>
  </si>
  <si>
    <t>Agora apenas [SAC] - ENG, mantendo o período.</t>
  </si>
  <si>
    <t>Now only [SAC] - ENG, keeping the period.</t>
  </si>
  <si>
    <t>Substituir a campanha, sem acrescentar a nova ao universo anterior.</t>
  </si>
  <si>
    <t>Replace the campaign; do not add it to the previous scope.</t>
  </si>
  <si>
    <t>Responder 235 atendidas na ENG.</t>
  </si>
  <si>
    <t>Return 235 answered calls for ENG.</t>
  </si>
  <si>
    <t>S14</t>
  </si>
  <si>
    <t>Feriado: zero após filtros</t>
  </si>
  <si>
    <t>Apresenta o total bruto de chamadas recebidas na fila [SAC] INB MEDICARE no dia 10 de junho de 2026.</t>
  </si>
  <si>
    <t>Report gross received calls for queue [SAC] INB MEDICARE on 10 June 2026.</t>
  </si>
  <si>
    <t>Aplicar o calendário estabelecido: 10/06/2026 é feriado nacional; não é falta de cobertura.</t>
  </si>
  <si>
    <t>Apply the established calendar: 2026-06-10 is a national holiday, not missing coverage.</t>
  </si>
  <si>
    <t>Responder 0 recebidas elegíveis após o filtro de feriados.</t>
  </si>
  <si>
    <t>Return 0 eligible received calls after the holiday filter.</t>
  </si>
  <si>
    <t>S15</t>
  </si>
  <si>
    <t>Ausência de cobertura</t>
  </si>
  <si>
    <t>Confirma se a fila [SAC] INB MEDICARE teve zero chamadas atendidas em setembro de 2026, usando apenas o ficheiro disponível.</t>
  </si>
  <si>
    <t>Confirm whether queue [SAC] INB MEDICARE had zero answered calls in September 2026, using only the available file.</t>
  </si>
  <si>
    <t>O ficheiro termina em 31/08/2026. Não confundir ausência de setembro com zero.</t>
  </si>
  <si>
    <t>The file ends on 2026-08-31. Do not mistake missing September coverage for zero.</t>
  </si>
  <si>
    <t>Não é apurável; setembro não está coberto. Não confirmar zero nem estimar.</t>
  </si>
  <si>
    <t>Unavailable: September is not covered. Do not confirm zero or estimate.</t>
  </si>
  <si>
    <t>S16</t>
  </si>
  <si>
    <t>Nome parcial de campanha</t>
  </si>
  <si>
    <t>Quero as atendidas de Marcação Consultas em 2025.</t>
  </si>
  <si>
    <t>I want answered calls for Appointment Booking in 2025.</t>
  </si>
  <si>
    <t>Se faltar um parâmetro essencial, pedir apenas esse esclarecimento e não apresentar um total definitivo antes da resposta. Não assumir todas as campanhas nem o período mais recente. Há variantes de nomes; pedir o nome exato em vez de as agregar.</t>
  </si>
  <si>
    <t>If an essential parameter is missing, ask only for that clarification and do not return a definitive total first. Do not assume all campaigns or the latest period. There are naming variants; ask for the exact campaign instead of combining them.</t>
  </si>
  <si>
    <t>Pedir qual a campanha exata, distinguindo a IVR Marcação Consultas de [SAC BO] - Marcação Consultas.</t>
  </si>
  <si>
    <t>Ask for the exact campaign, distinguishing the IVR appointment-booking campaign from [SAC BO] - Marcação Consultas.</t>
  </si>
  <si>
    <t>S17</t>
  </si>
  <si>
    <t>Evitar conversão duplicada</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</si>
  <si>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 PT/EN: A coluna temporal da AMA já está em Europe/Lisbon / AMA datetime column is already in Europe/Lisbon.</t>
  </si>
  <si>
    <t>Apresenta as chamadas atendidas da fila [SAC] INB MEDICARE com entrada a partir das 08h00 e antes das 09h00 locais em agosto de 2026.</t>
  </si>
  <si>
    <t>Report answered calls for queue [SAC] INB MEDICARE entering at or after 08:00 and before 09:00 local time in August 2026.</t>
  </si>
  <si>
    <t>Filtrar 08:00 ≤ entrada local &lt;09:00 diretamente na AMA; no Excel UTC a janela é 07:00–08:00.</t>
  </si>
  <si>
    <t>Apply 08:00 &lt;= local entry &lt;09:00 directly in AMA; the source Excel UTC window is 07:00–08:00.</t>
  </si>
  <si>
    <t>Responder 1 076 atendidas; não somar outra hora à coluna já local.</t>
  </si>
  <si>
    <t>Return 1,076 answered calls; do not add another hour to the already-local datetime.</t>
  </si>
  <si>
    <t>S18</t>
  </si>
  <si>
    <t>GMT literal</t>
  </si>
  <si>
    <t>PT/EN: Pergunta sobre equivalência de fusos, sem pedido de volume / Timezone equivalence question, not a volume query.</t>
  </si>
  <si>
    <t>Indica o intervalo na origem UTC que corresponde às 08h00–20h00 GMT.</t>
  </si>
  <si>
    <t>State the UTC source interval corresponding to 08:00–20:00 GMT.</t>
  </si>
  <si>
    <t>GMT e UTC têm ambos desfasamento zero. O pedido é explicitamente GMT, não Europe/Lisbon.</t>
  </si>
  <si>
    <t>GMT and UTC both have zero offset. The request explicitly says GMT, not Europe/Lisbon.</t>
  </si>
  <si>
    <t>08h00–20h00 UTC; não deslocar uma hora.</t>
  </si>
  <si>
    <t>08:00–20:00 UTC; do not shift by one hour.</t>
  </si>
  <si>
    <t>S19</t>
  </si>
  <si>
    <t>Fuso contraditório</t>
  </si>
  <si>
    <t>PT/EN: Sem esclarecimento adicional / No further clarification.</t>
  </si>
  <si>
    <t>Em agosto de 2026 quero as 08h00–20h00 da hora portuguesa, em GMT.</t>
  </si>
  <si>
    <t>For August 2026 I want 08:00–20:00 Portuguese local time, in GMT.</t>
  </si>
  <si>
    <t>Se faltar um parâmetro essencial, pedir apenas esse esclarecimento e não apresentar um total definitivo antes da resposta. Não assumir todas as campanhas nem o período mais recente. Em agosto, Europe/Lisbon é UTC+1; GMT é UTC+0. Não escolher silenciosamente.</t>
  </si>
  <si>
    <t>If an essential parameter is missing, ask only for that clarification and do not return a definitive total first. Do not assume all campaigns or the latest period. In August, Europe/Lisbon is UTC+1 while GMT is UTC+0. Do not choose silently.</t>
  </si>
  <si>
    <t>Perguntar se pretende hora local Europe/Lisbon ou GMT/UTC fixo.</t>
  </si>
  <si>
    <t>Ask whether Europe/Lisbon local time or fixed GMT/UTC is intended.</t>
  </si>
  <si>
    <t>S20</t>
  </si>
  <si>
    <t>Sessão com estados diferentes</t>
  </si>
  <si>
    <t>A chamada 120903493 teve um atendimento sem campanha identificada, com a fila INB MEDICARE, e depois três interações com campanha e estados LocalError ou Cancelled; indica quantas chamadas atendidas representa.</t>
  </si>
  <si>
    <t>Call 120903493 was answered without a campaign but with the INB MEDICARE queue, then had three campaign-identified interactions marked LocalError or Cancelled; state how many answered calls it represents.</t>
  </si>
  <si>
    <t>Recuperar a Connected pela fila; uma chamada por sessão. Os erros posteriores não anulam o atendimento.</t>
  </si>
  <si>
    <t>Recover the Connected interaction through the queue; one call per session. Later errors do not cancel the answered status.</t>
  </si>
  <si>
    <t>Uma chamada atendida, sem quatro chamadas nem uma abandonada.</t>
  </si>
  <si>
    <t>One answered call, neither four calls nor an abandoned session.</t>
  </si>
  <si>
    <t>chamada</t>
  </si>
  <si>
    <t>S21</t>
  </si>
  <si>
    <t>Fila sem Connected</t>
  </si>
  <si>
    <t>Uma chamada tem apenas uma interação, sem campanha identificada, com a fila INB MEDICARE e 90 segundos de espera, mas sem estado de atendimento registado; indica se conta como recebida e se conta como atendida.</t>
  </si>
  <si>
    <t>A call has only one interaction, with no campaign, the INB MEDICARE queue and 90 seconds of waiting time, but no recorded call outcome; state whether it counts as received and whether it counts as answered.</t>
  </si>
  <si>
    <t>Queue_Name identifica a entrada recebida sem exigir Campaign_Name nem Outcome. Sem qualquer Connected, não conta como atendida. Outcome NULL não prova quem desligou.</t>
  </si>
  <si>
    <t>Queue_Name identifies a received entry without requiring Campaign_Name or Outcome. Without any Connected interaction, it is not answered. NULL Outcome does not prove who disconnected.</t>
  </si>
  <si>
    <t>Conta como 1 recebida e 0 atendidas; a espera de 90 s não a exclui das recebidas ajustadas.</t>
  </si>
  <si>
    <t>Count 1 received call and 0 answered calls; its 90-second wait does not exclude it from adjusted received calls.</t>
  </si>
  <si>
    <t>recebida</t>
  </si>
  <si>
    <t>S22</t>
  </si>
  <si>
    <t>Limite de 30 segundos</t>
  </si>
  <si>
    <t>Uma chamada entra duas vezes na mesma fila, espera 15 segundos em cada interação e nunca é atendida; indica se deve ser retirada ao excluir chamadas não atendidas com menos de 30 segundos de espera.</t>
  </si>
  <si>
    <t>A call enters the same queue twice, waits 15 seconds in each interaction and is never answered; state whether it should be removed when excluding unanswered calls with less than 30 seconds of waiting time.</t>
  </si>
  <si>
    <t>Somar as duas esperas na fila: 15+15=30 s; excluir apenas se a soma for &lt;30 s, nunca por interação.</t>
  </si>
  <si>
    <t>Add both queue waits: 15+15=30 s; exclude only when the sum is &lt;30 s, never per interaction.</t>
  </si>
  <si>
    <t>Manter 1 recebida ajustada, com espera total de 30 s.</t>
  </si>
  <si>
    <t>Retain 1 adjusted received call, with 30 s total waiting time.</t>
  </si>
  <si>
    <t>S23</t>
  </si>
  <si>
    <t>Inbound e callbacks</t>
  </si>
  <si>
    <t>Quero o total inbound de agosto de 2026, incluindo os callbacks de saída.</t>
  </si>
  <si>
    <t>I want the August 2026 inbound total, including outbound callbacks.</t>
  </si>
  <si>
    <t>Se faltar um parâmetro essencial, pedir apenas esse esclarecimento e não apresentar um total definitivo antes da resposta. Não assumir todas as campanhas nem o período mais recente. «Inbound» e inclusão de callbacks outbound definem universos diferentes.</t>
  </si>
  <si>
    <t>If an essential parameter is missing, ask only for that clarification and do not return a definitive total first. Do not assume all campaigns or the latest period. “Inbound” and including outbound callbacks define different populations.</t>
  </si>
  <si>
    <t>Perguntar se pretende só inbound ou inbound mais callbacks, com separação dos dois tipos.</t>
  </si>
  <si>
    <t>Ask whether only inbound or inbound plus callbacks is intended, with the two types separated.</t>
  </si>
  <si>
    <t>S24</t>
  </si>
  <si>
    <t>Ano em falta</t>
  </si>
  <si>
    <t>PT: Regras estabelecidas: uma chamada por SessionID; recebidas pelas entradas em Queue_Name, sem filtro de Outcome; atendimento por Connected no serviço; dias úteis 08h–20h Europe/Lisbon, sem feriados nacionais. / EN: Established rules: one call per SessionID; received calls from Queue_Name entries without an Outcome filter; answered calls require Connected in the service; weekdays 08:00–20:00 Europe/Lisbon excluding national holidays. PT/EN: Sem ano no contexto / No year established in context.</t>
  </si>
  <si>
    <t>Apresenta as chamadas atendidas da fila [SAC] INB MEDICARE em agosto.</t>
  </si>
  <si>
    <t>Report answered calls for queue [SAC] INB MEDICARE in August.</t>
  </si>
  <si>
    <t>Se faltar um parâmetro essencial, pedir apenas esse esclarecimento e não apresentar um total definitivo antes da resposta. Não assumir todas as campanhas nem o período mais recente. Existem dados de agosto de 2024, 2025 e 2026.</t>
  </si>
  <si>
    <t>If an essential parameter is missing, ask only for that clarification and do not return a definitive total first. Do not assume all campaigns or the latest period. August data exists for 2024, 2025 and 2026.</t>
  </si>
  <si>
    <t>Perguntar qual o ano; não escolher 2026 por ser o mais recente.</t>
  </si>
  <si>
    <t>Ask which year; do not select 2026 merely because it is the latest.</t>
  </si>
  <si>
    <t>Recebidas pela fila e identificação do atendimento</t>
  </si>
  <si>
    <t>Recebidas: Queue_Name, sem filtro de Outcome. Atendimento: Connected no serviço.</t>
  </si>
  <si>
    <t>Received calls: Queue_Name without an Outcome filter. Answered calls: Connected in the service.</t>
  </si>
  <si>
    <t>Verificação</t>
  </si>
  <si>
    <t>Campaign_Name vazio/NULL</t>
  </si>
  <si>
    <t>Sem campanha, com fila</t>
  </si>
  <si>
    <t>Connected sem campanha, com fila</t>
  </si>
  <si>
    <t>Sem campanha, com fila e Outcome NULL</t>
  </si>
  <si>
    <t>Sem campanha e sem fila: alerta</t>
  </si>
  <si>
    <t>SessionID</t>
  </si>
  <si>
    <t>Interaction_ID</t>
  </si>
  <si>
    <t>Campaign_Name</t>
  </si>
  <si>
    <t>Queue_Name</t>
  </si>
  <si>
    <t>Outcome</t>
  </si>
  <si>
    <t>Entrada UTC</t>
  </si>
  <si>
    <t>Entrada Europe/Lisbon</t>
  </si>
  <si>
    <t>Folha</t>
  </si>
  <si>
    <t>Linha Excel</t>
  </si>
  <si>
    <t>120903493</t>
  </si>
  <si>
    <t>130936465</t>
  </si>
  <si>
    <t>NULL</t>
  </si>
  <si>
    <t>Connected</t>
  </si>
  <si>
    <t>2026</t>
  </si>
  <si>
    <t>A mesma sessão contém estas quatro interações; deve contar como uma atendida.</t>
  </si>
  <si>
    <t>130936502</t>
  </si>
  <si>
    <t>LocalError</t>
  </si>
  <si>
    <t>130936514</t>
  </si>
  <si>
    <t>130936524</t>
  </si>
  <si>
    <t>Cancelled</t>
  </si>
  <si>
    <t>Os 37 721 registos com fila e Outcome NULL não são excluídos das recebidas por falta de campanha ou de estado.</t>
  </si>
  <si>
    <t>NULL Outcome does not establish who disconnected; received-call eligibility is determined by queue entry.</t>
  </si>
  <si>
    <t>Origem: 1 386 061 registos, folhas 2024–2026. Caso Connected: folha 2026, linha 307599.</t>
  </si>
  <si>
    <t>População recebida e efeito do filtro de atendimento</t>
  </si>
  <si>
    <t>Cenário</t>
  </si>
  <si>
    <t>Brutas</t>
  </si>
  <si>
    <t>Não atendidas</t>
  </si>
  <si>
    <t>Espera &lt;30 s</t>
  </si>
  <si>
    <t>Espera ≥30 s</t>
  </si>
  <si>
    <t>Regra anterior: campanha + fila só Connected</t>
  </si>
  <si>
    <t>Recebidas INB: entradas na fila</t>
  </si>
  <si>
    <t>Recebidas INB+ENG: entradas nas duas filas</t>
  </si>
  <si>
    <t>As recebidas são todas as entradas elegíveis na fila; Connected é usado apenas para identificar atendimento.</t>
  </si>
  <si>
    <t>A sessão 120903493 conta como uma recebida e uma atendida: a interação Connected sem campanha é identificada pela fila.</t>
  </si>
  <si>
    <t>Received population: Queue_Name, any Outcome. Answered status: Connected in the corresponding service.</t>
  </si>
  <si>
    <t>IDs do Excel: Q01 INB brutas; Q02 INB+ENG brutas; Q03 INB ajustadas; Q04 INB+ENG ajustadas.</t>
  </si>
  <si>
    <t>Resposta AMA 1</t>
  </si>
  <si>
    <t>Resposta AMA 2</t>
  </si>
  <si>
    <t>Apresenta o tempo médio de conversação por chamada atendida, em segundos, para as chamadas cuja primeira entrada no conjunto das filas «[SAC] INB MEDICARE» e «[SAC] - ENG» ocorreu em agosto de 2026, de segunda a sexta-feira, a partir das 08h00 e antes das 20h00, hora de Lisboa, excluindo feriados nacionais portugueses.
Conta cada chamada uma única vez no conjunto e soma a conversação de todos os seus atendimentos nesses serviços, mesmo que terminem depois das 20h00. Calcula a média apenas com chamadas que tenham duração de conversação registada em todos esses atendimentos, incluindo valores de zero, e indica o número de chamadas consideradas e excluídas por dados em falta.</t>
  </si>
  <si>
    <t>Rresposta Ontem</t>
  </si>
  <si>
    <t>11:00 - 11:59</t>
  </si>
  <si>
    <t>Não consigo apresentar esse total para setembro/2026 com os dados atuais: o resultado vem vazio (0 linhas), o que indica que não há registos disponíveis para esse mês na base a que tenho acesso (ou, pelo menos, não há sessões que passem os filtros e caiam em setembro/2026).</t>
  </si>
  <si>
    <t>Não consigo apresentar esse total para setembro/2026 com os dados observados disponíveis: a consulta para esse mês retorna vazio (sem linhas), indicando que não há registos elegíveis em call_logs para 2026-09 (com esses filtros) na base atual.</t>
  </si>
  <si>
    <t>N\ao responde mas faz perguntas para diagnostico</t>
  </si>
  <si>
    <t xml:space="preserve">N\ao responde </t>
  </si>
  <si>
    <t>Não consigo calcular a taxa de ocupação dos operadores para a fila [SAC] INB MEDICARE com esses filtros (mês/horário/feriados), porque o KPI disponível de ocupação vem de agent_state_logs e não está mapeado por fila/campanha nem por “entradas” de chamadas.</t>
  </si>
  <si>
    <t>ão consigo calcular a taxa de ocupação dos operadores especificamente para o conjunto [SAC] INB MEDICARE + [SAC] - ENG com esses filtros, porque a ocupação que temos disponível (via agent_state_logs) é baseada em estados de agente e não está mapeada de forma fiável por fila/campanha nem pela regra de “apenas sessões cuja entrada ocorreu nessas filas” (2ª–6ª, 08–20, sem feriados)</t>
  </si>
  <si>
    <t>Resposta</t>
  </si>
  <si>
    <t>Não consigo apresentar o SLA da campanha [SAC] INB MEDICARE em agosto de 2026 com a informação/KPIs disponíveis.
Limitação de dados/KPI: o único KPI de SLA disponível aqui é “Service Level (Answered within 20s)”, mas ele é global (todas as campanhas) e não permite filtrar por campanha/mês na definição aprovada.
O mais próximo que consigo entregar: SLA 20s calculado a partir dos nossos registos para o total de chamadas conectadas (todas as campanhas), ou então ASA (tempo médio de espera até atender) e restantes métricas contratuais por mês para [SAC] INB MEDICARE (que é o indicador mais relacionado com SLA no perímetro contratual).
Nota importante: também existe client_reported_sla_pct, mas é um médio global reportado pelo cliente, sem garantia de estar segmentado por campanha.</t>
  </si>
  <si>
    <t>otal de chamadas atendidas da fila [SAC] INB MEDICARE em agosto de 2026 (contagem contratual por sessão):
35.913 chamadas atendidas.</t>
  </si>
  <si>
    <t>Em agosto de 2026, o total de chamadas atendidas no conjunto das filas [SAC] INB MEDICARE + [SAC] - ENG foi 36.148 (contagem contratual por sessão).
Total atendidas (INB+ENG): 36.148 chamadas em 2026-08.
Contexto vs INB apenas: INB sozinho teve 35.913, pelo que [SAC] - ENG adiciona +235 chamadas atendidas no mês.
Caveat (definição contratual): 1 chamada = 1 sessão, data/hora pela primeira entrada; apenas 2ª–6ª 08:00–20:00, excluindo feriados PT.</t>
  </si>
  <si>
    <t>Em agosto de 2026, as chamadas atendidas (por sessão) foram: [SAC] INB MEDICARE = ⚠35.921, [SAC] - ENG = 235, ValidaçãoDeCartões = 211, Marcação Consultas = 0; não encontrei registos para Adesões neste recorte.
Atendidas por campanha (2026-08): INB MEDICARE ⚠35.921; ENG 235; IVR ValidaçãoDeCartões 211; IVR Marcação Consultas 0; IVR Adesões (sem linhas retornadas).
Caveat (comparabilidade): estes valores são por sessão (session_id) e por mês do primeiro contacto, mas não aplicam o perímetro contratual (dias úteis 08:00–20:00 e feriados). Por isso, o INB aqui (⚠35.921) pode diferir do valor contratual que vimos antes (⚠35.913).
Possível causa do “Adesões”: pode não existir exatamente com esse nome (acentos/variação) ou ter 0 ocorrências em 2026-08.</t>
  </si>
  <si>
    <t>Em agosto de 2026, o total de chamadas atendidas da campanha [SAC] - ENG (contagem por sessão/session_id, mês do primeiro contacto, sem aplicar o perímetro contratual) foi:Mês	Campanha	Chamadas atendidas
2026-08	[SAC] - ENG	**235**</t>
  </si>
  <si>
    <t>Em agosto de 2026, a campanha [SAC] - ENG teve 235 chamadas atendidas (contagem por sessão / session_id).</t>
  </si>
  <si>
    <t>Em agosto de 2026, o total de chamadas atendidas no conjunto [SAC] INB MEDICARE + [SAC] - ENG foi 36.148 (contagem contratual por sessão / session_id).</t>
  </si>
  <si>
    <t>Em agosto de 2026, o total de chamadas atendidas da fila/campanha [SAC] - ENG foi 235 (contagem por sessão / session_id, no mês do primeiro contacto).</t>
  </si>
  <si>
    <t>No dia 10/06/2026, a fila [SAC] INB MEDICARE teve 8 chamadas recebidas (total bruto).
Total bruto: 8 interações/linhas recebidas na fila nesse dia (sem deduplicação por sessão).
Como ler: isto é contagem bruta de registos na fila (pode incluir múltiplas pernas/interações da mesma sessão).
Caveat (perímetro contratual): 10/06/2026 é feriado (Portugal) e seria excluído das métricas contratuais; aqui, como pediu “bruto”, não foi excluído.</t>
  </si>
  <si>
    <t>Com o ficheiro disponível, não há quaisquer registos da fila [SAC] INB MEDICARE em setembro/2026, por isso não dá para confirmar “zero atendidas” — o que conseguimos afirmar é “zero registos no ficheiro para esse mês”.
Evidência no ficheiro: para 2026-09 e queue [SAC] INB MEDICARE, o ficheiro retorna 0 linhas (logo, também 0 linhas “Connected”).
Interpretação correta: isto é consistente com o extract de chamadas terminar em 2026-08; portanto setembro/2026 está fora de cobertura do ficheiro, não necessariamente “zero volume real”.
O que falta para confirmar: dados de call logs de 2026-09 (ou outra fonte observada) para validar se houve atendidas.</t>
  </si>
  <si>
    <t>Em 2025, a campanha/fila [SAC] - IVR MEDICARE Marcação Consultas teve 0 chamadas atendidas (em todos os meses), com base no ficheiro disponível.
Total 2025: 0 atendidas (soma de jan–dez/2025).
Detalhe mensal: 0 em cada mês de 2025.
Caveat (interpretação): isto mede “atendida” como sessão com pelo menos uma interação Connected; se esta fila for sobretudo IVR/roteamento (sem ligação a agente), é plausível aparecer como 0 atendidas mesmo havendo tráfego “recebido”.</t>
  </si>
  <si>
    <t>Em agosto de 2026, a fila [SAC] INB MEDICARE teve 1.076 chamadas atendidas com entrada entre 08:00 (incl.) e 09:00 (excl.) (hora local).
Total (08:00–08:59): 1.076 chamadas atendidas.
Definição aplicada: contagem por sessão (uma chamada = um session_id), usando a primeira entrada; apenas 2ª–6ª e exclui feriados (perímetro contratual).
Nota de cobertura: “hora local” aqui é o timestamp já guardado em Europe/Lisbon (sem conversões).</t>
  </si>
  <si>
    <t>That's outside what I can help with. I'm here to help you explore MedicareCC's data — things like trends, KPIs, comparisons, and breakdowns. What would you like to know about your data?</t>
  </si>
  <si>
    <t>Representa 1 chamada atendida.
Contagem por chamada (sessão): a sessão 120903493 tem 4 interações, mas conta como 1 chamada (1 session_id).
Porque é “atendida”: existe 1 interação com outcome = Connected, logo a sessão fica marcada como answered mesmo que outras interações tenham LocalError/Cancelled.
O que isto não mede: se contar “atendidas” por linhas/interações, então aqui veria 1 linha atendida e 3 não atendidas; mas em métricas contratuais por chamada é apenas 1.</t>
  </si>
  <si>
    <t>Conta como recebida, mas não conta como atendida (pela definição por sessão).
Recebida: sim — houve entrada na fila [SAC] INB MEDICARE (existe registo/interação) e tem tempo em fila (90s), logo a sessão entra no universo de “recebidas”.
Atendida: não — como não existe outcome = Connected registado na sessão, não é marcada como atendida; portanto seria tratada como abandono (recebida − atendida), e não seria “short abandon” porque 90s ≥ 30s.</t>
  </si>
  <si>
    <t>Sim — deve ser retirada, desde que a exclusão de short abandons seja feita por sessão usando o tempo total em fila na sessão.
No critério que temos usado: excluir apenas sessões sem Connected e com qtime total &lt; 30s. Como a chamada teve 15s + 15s = 30s, então:
se a regra for &lt; 30s (estritamente menor), não é retirada;
se a regra for ≤ 30s, é retirada.</t>
  </si>
  <si>
    <t>Não consigo calcular “total inbound incluindo callbacks de saída” com uma definição aprovada única — os KPIs contratuais de inbound excluem explicitamente [SAC] - Callbacks, e não há aqui um KPI oficial que some inbound+callbacks.
O que tenho como referência inbound (contratual): para agosto/2026, o inbound de referência é o KPI Incoming Calls by Month – Medicare Contractual Counting Rules, que não inclui callbacks (por regra acordada).
O que está em falta para responder exatamente como pediu: uma regra explícita para como identificar “callbacks de saída” no ficheiro (por campanha/fila/outcome) e como os deduplicar (por sessão) ao juntar com inbound.
Opção viável com os dados: posso entregar dois números lado a lado em 2026-08 — (1) inbound contratual e (2) volume de sessões/linhas da campanha [SAC] - Callbacks — e depois somar, se confirmar que é essa a definição.</t>
  </si>
  <si>
    <t>Em agosto de 2026, a fila [SAC] INB MEDICARE teve 35.913 chamadas atendidas (contagem contratual por sessão / session_id).</t>
  </si>
  <si>
    <t>Em agosto de 2026 houve ⚠35.913 chamadas atendidas no INB Medicare e ⚠36.148 chamadas atendidas no INB+ENG (INB Medicare + ENG), segundo as regras contratuais.
Atendidas (INB): ⚠35.913 chamadas atendidas (apenas [SAC] INB MEDICARE).
Atendidas (INB+ENG): ⚠36.148 chamadas atendidas (inclui [SAC] INB MEDICARE + [SAC] - ENG).
Diferença ENG incremental: ƒ+235 chamadas atendidas vs INB (volume adicional que aparece quando incluímos ENG).
Caveat de definição: estes números são por chamada (session), usando 1ª entrada da sessão, apenas dias úteis ◆08:◆00–◆20:◆00 (Lisboa) e excluindo feriados nacionais; não é uma contagem “linha-a-linha” de interações.</t>
  </si>
  <si>
    <t>Preciso que confirme o período para eu apresentar o número: pretende as chamadas atendidas da campanha [SAC] INB MEDICARE em agosto de 2026 (como no pedido anterior) ou noutro mês/intervalo?
Definição usada (contratual): “atendidas” = chamadas (1 por session) com pelo menos uma interação Connected, com a data/hora da primeira entrada da sessão, apenas 2ª–6ª, 08:00–20:00 (Lisboa) e excluindo feriados.
Se for agosto de 2026: o valor é 35.913 chamadas atendidas para [SAC] INB MEDICARE (INB).</t>
  </si>
  <si>
    <t>Para a campanha [SAC] INB MEDICARE, no período de agosto de 2026 (regras contratuais), houve 35.913 chamadas atendidas.
Se você me disser qual é exatamente o período que quer (por exemplo, 01–31/08/2026 ou um intervalo de datas específico), eu apresento o total correspondente a esse intervalo e, se quiser, também a visão diária.</t>
  </si>
  <si>
    <t>Em agosto de 2026, a campanha [SAC] INB MEDICARE teve ⚠35.913 chamadas atendidas (de ⚠37.402 recebidas) pelas regras contratuais.
Volume (funil): ⚠37.402 recebidas vs ⚠35.913 atendidas → ⚠1.489 não atendidas no período.
ASA (contratual): 16,59 s de espera média até ao primeiro atendimento (apenas sobre chamadas atendidas).
AHT (contratual): 385,30 s (≈ 6m25s) nas chamadas atendidas com tempos completos.
Componentes do AHT: talk 364,35 s, hold 13,61 s, ACW 2,47 s (médias por chamada atendida, quando o componente não está em falta).
Esforço total: 3.330,51 horas de handling (talk+hold+ACW) nas chamadas com AHT completo.
Qualidade do dado (hold): ⚠4.795 chamadas atendidas com hold em falta; o AHT acima exclui chamadas com componentes em falta, por regra contratual.</t>
  </si>
  <si>
    <t>Em agosto de 2026, na campanha [SAC] INB MEDICARE, houve 1.489 abandonos (não atendidas), o que dá uma taxa de abandono de 3,98% (incluindo short abandons).
Base de chamadas (contratual): 37.402 recebidas (incl. short abandons) vs 37.028 recebidas (excl. short abandons).
Abandono total (incl. short abandons): 1.489 chamadas não atendidas = 3,98% das recebidas.
Short abandons (&lt;30s, sem Connected): 374 chamadas (1,00% das recebidas); são exatamente as removidas ao passar de “incl.” para “excl.” short abandons.
Abandonos ≥30s (sem Connected): 1.115 chamadas = 2,98% das recebidas.
O que isto não mostra: não identifica motivos (ex.: picos horários, falhas IVR) — só o resultado final “atendida vs não atendida” no padrão contratual.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</si>
</sst>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000"/>
  </numFmts>
  <fonts count="16">
    <font>
      <sz val="11"/>
      <name val="Carlito"/>
    </font>
    <font>
      <sz val="10"/>
      <color rgb="FF22313F"/>
      <name val="Arial"/>
      <family val="2"/>
    </font>
    <font>
      <b/>
      <sz val="14"/>
      <color rgb="FF17324D"/>
      <name val="Arial"/>
      <family val="2"/>
    </font>
    <font>
      <sz val="10"/>
      <color rgb="FF526775"/>
      <name val="Arial"/>
      <family val="2"/>
    </font>
    <font>
      <b/>
      <sz val="10"/>
      <color rgb="FFFFFFFF"/>
      <name val="Arial"/>
      <family val="2"/>
    </font>
    <font>
      <b/>
      <sz val="10"/>
      <color rgb="FF17324D"/>
      <name val="Arial"/>
      <family val="2"/>
    </font>
    <font>
      <b/>
      <sz val="10"/>
      <color rgb="FF8C470E"/>
      <name val="Arial"/>
      <family val="2"/>
    </font>
    <font>
      <b/>
      <sz val="11"/>
      <color rgb="FF17324D"/>
      <name val="Arial"/>
      <family val="2"/>
    </font>
    <font>
      <sz val="10"/>
      <color rgb="FF18334C"/>
      <name val="Arial"/>
      <family val="2"/>
    </font>
    <font>
      <b/>
      <sz val="14"/>
      <color rgb="FF18334C"/>
      <name val="Arial"/>
      <family val="2"/>
    </font>
    <font>
      <b/>
      <sz val="12"/>
      <color rgb="FF19364D"/>
      <name val="Arial"/>
      <family val="2"/>
    </font>
    <font>
      <sz val="11"/>
      <color rgb="FFFF0000"/>
      <name val="Carlito"/>
    </font>
    <font>
      <sz val="10"/>
      <color rgb="FF22313F"/>
      <name val="Arial"/>
      <family val="2"/>
    </font>
    <font>
      <sz val="8"/>
      <name val="Carlito"/>
    </font>
    <font>
      <sz val="10"/>
      <color rgb="FF18334C"/>
      <name val="Arial"/>
      <family val="2"/>
    </font>
    <font>
      <sz val="10"/>
      <color rgb="FFFF0000"/>
      <name val="Arial"/>
      <family val="2"/>
    </font>
  </fonts>
  <fills count="9">
    <fill>
      <patternFill patternType="none"/>
    </fill>
    <fill>
      <patternFill patternType="gray125"/>
    </fill>
    <fill>
      <patternFill patternType="solid">
        <fgColor rgb="FF17324D"/>
      </patternFill>
    </fill>
    <fill>
      <patternFill patternType="solid">
        <fgColor rgb="FFF6F8FA"/>
      </patternFill>
    </fill>
    <fill>
      <patternFill patternType="solid">
        <fgColor rgb="FFEEF4F8"/>
      </patternFill>
    </fill>
    <fill>
      <patternFill patternType="solid">
        <fgColor rgb="FFF3F6F9"/>
      </patternFill>
    </fill>
    <fill>
      <patternFill patternType="solid">
        <fgColor rgb="FFFFFFFF"/>
      </patternFill>
    </fill>
    <fill>
      <patternFill patternType="solid">
        <fgColor rgb="FF19364D"/>
      </patternFill>
    </fill>
    <fill>
      <patternFill patternType="solid">
        <fgColor rgb="FF19364D"/>
      </patternFill>
    </fill>
  </fills>
  <borders count="6">
    <border>
      <left/>
      <right/>
      <top/>
      <bottom/>
      <diagonal/>
    </border>
    <border>
      <left/>
      <right/>
      <top/>
      <bottom style="thin">
        <color rgb="FFD7E0E8"/>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style="thin">
        <color rgb="FFABC0D0"/>
      </top>
      <bottom/>
      <diagonal/>
    </border>
  </borders>
  <cellStyleXfs count="1">
    <xf numFmtId="0" fontId="0" fillId="0" borderId="0"/>
  </cellStyleXfs>
  <cellXfs count="97">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1" fillId="0" borderId="0" xfId="0" applyFont="1" applyAlignment="1">
      <alignment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1" fillId="0" borderId="0" xfId="0" applyFont="1" applyAlignment="1">
      <alignment vertical="top" wrapText="1"/>
    </xf>
    <xf numFmtId="0" fontId="1" fillId="3" borderId="0" xfId="0" applyFont="1" applyFill="1" applyAlignment="1">
      <alignment vertical="top" wrapText="1"/>
    </xf>
    <xf numFmtId="0" fontId="5" fillId="4" borderId="1" xfId="0" applyFont="1" applyFill="1" applyBorder="1"/>
    <xf numFmtId="0" fontId="1" fillId="0" borderId="0" xfId="0" applyFont="1" applyAlignment="1">
      <alignment vertical="center" wrapText="1"/>
    </xf>
    <xf numFmtId="3" fontId="1" fillId="0" borderId="0" xfId="0" applyNumberFormat="1" applyFont="1" applyAlignment="1">
      <alignment vertical="center" wrapText="1"/>
    </xf>
    <xf numFmtId="0" fontId="1" fillId="3" borderId="0" xfId="0" applyFont="1" applyFill="1" applyAlignment="1">
      <alignment vertical="center" wrapText="1"/>
    </xf>
    <xf numFmtId="0" fontId="1" fillId="0" borderId="0" xfId="0" applyFont="1" applyAlignment="1">
      <alignment vertical="center"/>
    </xf>
    <xf numFmtId="0" fontId="5" fillId="4" borderId="1" xfId="0" applyFont="1" applyFill="1" applyBorder="1" applyAlignment="1">
      <alignment vertical="center"/>
    </xf>
    <xf numFmtId="3" fontId="1" fillId="0" borderId="0" xfId="0" applyNumberFormat="1" applyFont="1" applyAlignment="1">
      <alignment vertical="center"/>
    </xf>
    <xf numFmtId="14" fontId="1" fillId="0" borderId="0" xfId="0" applyNumberFormat="1" applyFont="1" applyAlignment="1">
      <alignment vertical="center"/>
    </xf>
    <xf numFmtId="0" fontId="1" fillId="5" borderId="0" xfId="0" applyFont="1" applyFill="1" applyAlignment="1">
      <alignment vertical="center"/>
    </xf>
    <xf numFmtId="0" fontId="1" fillId="5" borderId="0" xfId="0" applyFont="1" applyFill="1" applyAlignment="1">
      <alignment vertical="center" wrapText="1"/>
    </xf>
    <xf numFmtId="14" fontId="1" fillId="5" borderId="0" xfId="0" applyNumberFormat="1" applyFont="1" applyFill="1" applyAlignment="1">
      <alignment vertical="center"/>
    </xf>
    <xf numFmtId="3" fontId="1" fillId="5" borderId="0" xfId="0" applyNumberFormat="1" applyFont="1" applyFill="1" applyAlignment="1">
      <alignment horizontal="right" vertical="center"/>
    </xf>
    <xf numFmtId="10" fontId="1" fillId="5" borderId="0" xfId="0" applyNumberFormat="1" applyFont="1" applyFill="1" applyAlignment="1">
      <alignment horizontal="right" vertical="center"/>
    </xf>
    <xf numFmtId="4" fontId="1" fillId="5" borderId="0" xfId="0" applyNumberFormat="1" applyFont="1" applyFill="1" applyAlignment="1">
      <alignment horizontal="right" vertical="center"/>
    </xf>
    <xf numFmtId="14" fontId="1" fillId="5" borderId="0" xfId="0" applyNumberFormat="1" applyFont="1" applyFill="1" applyAlignment="1">
      <alignment horizontal="right" vertical="center"/>
    </xf>
    <xf numFmtId="0" fontId="1" fillId="5" borderId="0" xfId="0" applyFont="1" applyFill="1" applyAlignment="1">
      <alignment horizontal="right" vertical="center"/>
    </xf>
    <xf numFmtId="0" fontId="1" fillId="6" borderId="0" xfId="0" applyFont="1" applyFill="1" applyAlignment="1">
      <alignment vertical="center"/>
    </xf>
    <xf numFmtId="0" fontId="1" fillId="6" borderId="0" xfId="0" applyFont="1" applyFill="1" applyAlignment="1">
      <alignment vertical="center" wrapText="1"/>
    </xf>
    <xf numFmtId="14" fontId="1" fillId="6" borderId="0" xfId="0" applyNumberFormat="1" applyFont="1" applyFill="1" applyAlignment="1">
      <alignment vertical="center"/>
    </xf>
    <xf numFmtId="3" fontId="1" fillId="6" borderId="0" xfId="0" applyNumberFormat="1" applyFont="1" applyFill="1" applyAlignment="1">
      <alignment horizontal="right" vertical="center"/>
    </xf>
    <xf numFmtId="10" fontId="1" fillId="6" borderId="0" xfId="0" applyNumberFormat="1" applyFont="1" applyFill="1" applyAlignment="1">
      <alignment horizontal="right" vertical="center"/>
    </xf>
    <xf numFmtId="4" fontId="1" fillId="6" borderId="0" xfId="0" applyNumberFormat="1" applyFont="1" applyFill="1" applyAlignment="1">
      <alignment horizontal="right" vertical="center"/>
    </xf>
    <xf numFmtId="14" fontId="1" fillId="6" borderId="0" xfId="0" applyNumberFormat="1" applyFont="1" applyFill="1" applyAlignment="1">
      <alignment horizontal="right" vertical="center"/>
    </xf>
    <xf numFmtId="0" fontId="1" fillId="6" borderId="0" xfId="0" applyFont="1" applyFill="1" applyAlignment="1">
      <alignment horizontal="right" vertical="center"/>
    </xf>
    <xf numFmtId="3" fontId="0" fillId="0" borderId="0" xfId="0" applyNumberFormat="1"/>
    <xf numFmtId="10" fontId="0" fillId="0" borderId="0" xfId="0" applyNumberFormat="1"/>
    <xf numFmtId="0" fontId="6" fillId="0" borderId="0" xfId="0" applyFont="1"/>
    <xf numFmtId="0" fontId="5" fillId="5" borderId="0" xfId="0" applyFont="1" applyFill="1" applyAlignment="1">
      <alignment vertical="top" wrapText="1"/>
    </xf>
    <xf numFmtId="0" fontId="1" fillId="5" borderId="0" xfId="0" applyFont="1" applyFill="1" applyAlignment="1">
      <alignment vertical="top" wrapText="1"/>
    </xf>
    <xf numFmtId="3" fontId="7" fillId="5" borderId="0" xfId="0" applyNumberFormat="1" applyFont="1" applyFill="1" applyAlignment="1">
      <alignment horizontal="right" vertical="center" wrapText="1"/>
    </xf>
    <xf numFmtId="0" fontId="5" fillId="6" borderId="0" xfId="0" applyFont="1" applyFill="1" applyAlignment="1">
      <alignment vertical="top" wrapText="1"/>
    </xf>
    <xf numFmtId="0" fontId="1" fillId="6" borderId="0" xfId="0" applyFont="1" applyFill="1" applyAlignment="1">
      <alignment vertical="top" wrapText="1"/>
    </xf>
    <xf numFmtId="3" fontId="7" fillId="6" borderId="0" xfId="0" applyNumberFormat="1" applyFont="1" applyFill="1" applyAlignment="1">
      <alignment horizontal="right" vertical="center" wrapText="1"/>
    </xf>
    <xf numFmtId="0" fontId="5" fillId="5" borderId="5" xfId="0" applyFont="1" applyFill="1" applyBorder="1" applyAlignment="1">
      <alignment vertical="top" wrapText="1"/>
    </xf>
    <xf numFmtId="0" fontId="1" fillId="5" borderId="5" xfId="0" applyFont="1" applyFill="1" applyBorder="1" applyAlignment="1">
      <alignment vertical="top" wrapText="1"/>
    </xf>
    <xf numFmtId="3" fontId="7" fillId="5" borderId="5" xfId="0" applyNumberFormat="1" applyFont="1" applyFill="1" applyBorder="1" applyAlignment="1">
      <alignment horizontal="right" vertical="center" wrapText="1"/>
    </xf>
    <xf numFmtId="10" fontId="7" fillId="5" borderId="0" xfId="0" applyNumberFormat="1" applyFont="1" applyFill="1" applyAlignment="1">
      <alignment horizontal="right" vertical="center" wrapText="1"/>
    </xf>
    <xf numFmtId="10" fontId="7" fillId="5" borderId="5" xfId="0" applyNumberFormat="1" applyFont="1" applyFill="1" applyBorder="1" applyAlignment="1">
      <alignment horizontal="right" vertical="center" wrapText="1"/>
    </xf>
    <xf numFmtId="10" fontId="7" fillId="6" borderId="0" xfId="0" applyNumberFormat="1" applyFont="1" applyFill="1" applyAlignment="1">
      <alignment horizontal="right" vertical="center" wrapText="1"/>
    </xf>
    <xf numFmtId="4" fontId="7" fillId="5" borderId="0" xfId="0" applyNumberFormat="1" applyFont="1" applyFill="1" applyAlignment="1">
      <alignment horizontal="right" vertical="center" wrapText="1"/>
    </xf>
    <xf numFmtId="4" fontId="7" fillId="5" borderId="5" xfId="0" applyNumberFormat="1" applyFont="1" applyFill="1" applyBorder="1" applyAlignment="1">
      <alignment horizontal="right" vertical="center" wrapText="1"/>
    </xf>
    <xf numFmtId="4" fontId="7" fillId="6" borderId="0" xfId="0" applyNumberFormat="1" applyFont="1" applyFill="1" applyAlignment="1">
      <alignment horizontal="right" vertical="center" wrapText="1"/>
    </xf>
    <xf numFmtId="14" fontId="7" fillId="5" borderId="5" xfId="0" applyNumberFormat="1" applyFont="1" applyFill="1" applyBorder="1" applyAlignment="1">
      <alignment horizontal="right" vertical="center" wrapText="1"/>
    </xf>
    <xf numFmtId="14" fontId="7" fillId="6" borderId="0" xfId="0" applyNumberFormat="1" applyFont="1" applyFill="1" applyAlignment="1">
      <alignment horizontal="right" vertical="center" wrapText="1"/>
    </xf>
    <xf numFmtId="49" fontId="7" fillId="5" borderId="5" xfId="0" applyNumberFormat="1" applyFont="1" applyFill="1" applyBorder="1" applyAlignment="1">
      <alignment horizontal="right" vertical="center" wrapText="1"/>
    </xf>
    <xf numFmtId="49" fontId="7" fillId="6" borderId="0" xfId="0" applyNumberFormat="1" applyFont="1" applyFill="1" applyAlignment="1">
      <alignment horizontal="right" vertical="center" wrapText="1"/>
    </xf>
    <xf numFmtId="49" fontId="1" fillId="5" borderId="5" xfId="0" applyNumberFormat="1" applyFont="1" applyFill="1" applyBorder="1" applyAlignment="1">
      <alignment horizontal="left" vertical="top" wrapText="1"/>
    </xf>
    <xf numFmtId="49" fontId="1" fillId="6" borderId="0" xfId="0" applyNumberFormat="1" applyFont="1" applyFill="1" applyAlignment="1">
      <alignment horizontal="left" vertical="top" wrapText="1"/>
    </xf>
    <xf numFmtId="0" fontId="8" fillId="0" borderId="0" xfId="0" applyFont="1"/>
    <xf numFmtId="0" fontId="9" fillId="0" borderId="0" xfId="0" applyFont="1"/>
    <xf numFmtId="0" fontId="8" fillId="0" borderId="0" xfId="0" applyFont="1" applyAlignment="1">
      <alignment vertical="top"/>
    </xf>
    <xf numFmtId="0" fontId="8" fillId="0" borderId="0" xfId="0" applyFont="1" applyAlignment="1">
      <alignment vertical="top" wrapText="1"/>
    </xf>
    <xf numFmtId="3" fontId="8" fillId="0" borderId="0" xfId="0" applyNumberFormat="1" applyFont="1" applyAlignment="1">
      <alignment horizontal="right" vertical="top"/>
    </xf>
    <xf numFmtId="0" fontId="4" fillId="7" borderId="0" xfId="0" applyFont="1" applyFill="1" applyAlignment="1">
      <alignment horizontal="center" vertical="center" wrapText="1"/>
    </xf>
    <xf numFmtId="3" fontId="8" fillId="0" borderId="0" xfId="0" applyNumberFormat="1" applyFont="1"/>
    <xf numFmtId="0" fontId="8" fillId="0" borderId="0" xfId="0" applyFont="1" applyAlignment="1">
      <alignment wrapText="1"/>
    </xf>
    <xf numFmtId="49" fontId="8" fillId="0" borderId="0" xfId="0" applyNumberFormat="1" applyFont="1"/>
    <xf numFmtId="164" fontId="8" fillId="0" borderId="0" xfId="0" applyNumberFormat="1" applyFont="1"/>
    <xf numFmtId="49" fontId="8" fillId="0" borderId="0" xfId="0" applyNumberFormat="1" applyFont="1" applyAlignment="1">
      <alignment wrapText="1"/>
    </xf>
    <xf numFmtId="164" fontId="8" fillId="0" borderId="0" xfId="0" applyNumberFormat="1" applyFont="1" applyAlignment="1">
      <alignment wrapText="1"/>
    </xf>
    <xf numFmtId="3" fontId="8" fillId="0" borderId="0" xfId="0" applyNumberFormat="1" applyFont="1" applyAlignment="1">
      <alignment wrapText="1"/>
    </xf>
    <xf numFmtId="0" fontId="10" fillId="0" borderId="0" xfId="0" applyFont="1"/>
    <xf numFmtId="0" fontId="4" fillId="8" borderId="0" xfId="0" applyFont="1" applyFill="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5" borderId="5" xfId="0" applyFont="1" applyFill="1" applyBorder="1" applyAlignment="1">
      <alignment horizontal="center" vertical="center" wrapText="1"/>
    </xf>
    <xf numFmtId="10" fontId="0" fillId="0" borderId="0" xfId="0" applyNumberFormat="1" applyAlignment="1">
      <alignment horizontal="center" vertical="center"/>
    </xf>
    <xf numFmtId="0" fontId="12" fillId="6" borderId="0" xfId="0" applyFont="1" applyFill="1" applyAlignment="1">
      <alignment vertical="top" wrapText="1"/>
    </xf>
    <xf numFmtId="0" fontId="12" fillId="5" borderId="5" xfId="0" applyFont="1" applyFill="1" applyBorder="1" applyAlignment="1">
      <alignment vertical="top" wrapText="1"/>
    </xf>
    <xf numFmtId="14" fontId="0" fillId="0" borderId="0" xfId="0" applyNumberFormat="1" applyAlignment="1">
      <alignment horizontal="center" vertical="center"/>
    </xf>
    <xf numFmtId="20" fontId="0" fillId="0" borderId="0" xfId="0" applyNumberFormat="1" applyAlignment="1">
      <alignment horizontal="center" vertical="center"/>
    </xf>
    <xf numFmtId="0" fontId="13" fillId="0" borderId="0" xfId="0" applyFont="1" applyAlignment="1">
      <alignment horizont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0" fillId="0" borderId="0" xfId="0" applyAlignment="1">
      <alignment wrapText="1"/>
    </xf>
    <xf numFmtId="0" fontId="14" fillId="0" borderId="0" xfId="0" applyFont="1" applyAlignment="1">
      <alignment vertical="top" wrapText="1"/>
    </xf>
    <xf numFmtId="0" fontId="0" fillId="0" borderId="0" xfId="0" applyAlignment="1">
      <alignment horizontal="center" vertical="center"/>
    </xf>
    <xf numFmtId="10" fontId="0" fillId="0" borderId="0" xfId="0" applyNumberFormat="1" applyFont="1" applyAlignment="1">
      <alignment horizontal="center" vertical="center"/>
    </xf>
    <xf numFmtId="0" fontId="0" fillId="0" borderId="0" xfId="0" applyFont="1" applyAlignment="1">
      <alignment horizontal="center" vertical="center"/>
    </xf>
    <xf numFmtId="0" fontId="15" fillId="0" borderId="0" xfId="0" applyFont="1" applyAlignment="1">
      <alignment vertical="top" wrapText="1"/>
    </xf>
    <xf numFmtId="3" fontId="15" fillId="0" borderId="0" xfId="0" applyNumberFormat="1" applyFont="1" applyAlignment="1">
      <alignment horizontal="right" vertical="top"/>
    </xf>
    <xf numFmtId="0" fontId="15" fillId="0" borderId="0" xfId="0" applyFont="1" applyAlignment="1">
      <alignment vertical="top"/>
    </xf>
    <xf numFmtId="0" fontId="11" fillId="0" borderId="0" xfId="0" applyFont="1" applyAlignment="1">
      <alignment wrapText="1"/>
    </xf>
  </cellXfs>
  <cellStyles count="1">
    <cellStyle name="Normal" xfId="0" builtinId="0"/>
  </cellStyles>
  <dxfs count="4">
    <dxf>
      <font>
        <b/>
        <color rgb="FF8C470E"/>
      </font>
      <fill>
        <patternFill>
          <bgColor rgb="FFFFF1DD"/>
        </patternFill>
      </fill>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PerguntasAMA" displayName="PerguntasAMA" ref="A6:K72" totalsRowShown="0">
  <tableColumns count="11">
    <tableColumn id="1" xr3:uid="{00000000-0010-0000-0000-000001000000}" name="ID"/>
    <tableColumn id="2" xr3:uid="{00000000-0010-0000-0000-000002000000}" name="Tema"/>
    <tableColumn id="3" xr3:uid="{00000000-0010-0000-0000-000003000000}" name="Âmbito"/>
    <tableColumn id="4" xr3:uid="{00000000-0010-0000-0000-000004000000}" name="Pergunta (PT)"/>
    <tableColumn id="5" xr3:uid="{00000000-0010-0000-0000-000005000000}" name="Pergunta (EN)"/>
    <tableColumn id="6" xr3:uid="{00000000-0010-0000-0000-000006000000}" name="Critérios de validação (PT)"/>
    <tableColumn id="7" xr3:uid="{00000000-0010-0000-0000-000007000000}" name="Validation criteria (EN)"/>
    <tableColumn id="8" xr3:uid="{00000000-0010-0000-0000-000008000000}" name="Valor de resposta esperado"/>
    <tableColumn id="9" xr3:uid="{00000000-0010-0000-0000-000009000000}" name="Unidade" dataDxfId="3"/>
    <tableColumn id="10" xr3:uid="{12490513-6B10-4D16-ABCE-E2F0B64EBA24}" name="Resposta AMA 1" dataDxfId="2"/>
    <tableColumn id="11" xr3:uid="{76D63F00-88C2-4E36-8D59-58E894301994}" name="Resposta AMA 2"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AgregadosSessoes" displayName="AgregadosSessoes" ref="A7:AP25" totalsRowShown="0">
  <autoFilter ref="A7:AP25" xr:uid="{00000000-0009-0000-0100-000001000000}"/>
  <tableColumns count="42">
    <tableColumn id="1" xr3:uid="{00000000-0010-0000-0100-000001000000}" name="Código"/>
    <tableColumn id="2" xr3:uid="{00000000-0010-0000-0100-000002000000}" name="Campanhas"/>
    <tableColumn id="3" xr3:uid="{00000000-0010-0000-0100-000003000000}" name="Início"/>
    <tableColumn id="4" xr3:uid="{00000000-0010-0000-0100-000004000000}" name="Fim inclusive"/>
    <tableColumn id="5" xr3:uid="{00000000-0010-0000-0100-000005000000}" name="Horário de entrada"/>
    <tableColumn id="6" xr3:uid="{00000000-0010-0000-0100-000006000000}" name="Chamadas brutas"/>
    <tableColumn id="7" xr3:uid="{00000000-0010-0000-0100-000007000000}" name="Atendidas"/>
    <tableColumn id="8" xr3:uid="{00000000-0010-0000-0100-000008000000}" name="Abandonadas brutas"/>
    <tableColumn id="9" xr3:uid="{00000000-0010-0000-0100-000009000000}" name="Abandonos &lt; 30 s"/>
    <tableColumn id="10" xr3:uid="{00000000-0010-0000-0100-00000A000000}" name="Recebidas ajustadas"/>
    <tableColumn id="11" xr3:uid="{00000000-0010-0000-0100-00000B000000}" name="Abandonos ≥ 30 s"/>
    <tableColumn id="12" xr3:uid="{00000000-0010-0000-0100-00000C000000}" name="Interações de origem"/>
    <tableColumn id="13" xr3:uid="{00000000-0010-0000-0100-00000D000000}" name="Sessões com várias interações"/>
    <tableColumn id="14" xr3:uid="{00000000-0010-0000-0100-00000E000000}" name="Atendidas ≤ 30 s"/>
    <tableColumn id="15" xr3:uid="{00000000-0010-0000-0100-00000F000000}" name="SLA ≤ 30 s"/>
    <tableColumn id="16" xr3:uid="{00000000-0010-0000-0100-000010000000}" name="Soma de espera atendidas (s)"/>
    <tableColumn id="17" xr3:uid="{00000000-0010-0000-0100-000011000000}" name="ASA (s)"/>
    <tableColumn id="18" xr3:uid="{00000000-0010-0000-0100-000012000000}" name="Sessões com conversação completa"/>
    <tableColumn id="19" xr3:uid="{00000000-0010-0000-0100-000013000000}" name="Soma de conversação (s)"/>
    <tableColumn id="20" xr3:uid="{00000000-0010-0000-0100-000014000000}" name="Conversação média (s)"/>
    <tableColumn id="21" xr3:uid="{00000000-0010-0000-0100-000015000000}" name="Sessões com hold completo"/>
    <tableColumn id="22" xr3:uid="{00000000-0010-0000-0100-000016000000}" name="Soma de hold (s)"/>
    <tableColumn id="23" xr3:uid="{00000000-0010-0000-0100-000017000000}" name="Hold médio (s)"/>
    <tableColumn id="24" xr3:uid="{00000000-0010-0000-0100-000018000000}" name="Sessões com ACW completo"/>
    <tableColumn id="25" xr3:uid="{00000000-0010-0000-0100-000019000000}" name="Soma de ACW (s)"/>
    <tableColumn id="26" xr3:uid="{00000000-0010-0000-0100-00001A000000}" name="ACW médio (s)"/>
    <tableColumn id="27" xr3:uid="{00000000-0010-0000-0100-00001B000000}" name="Sessões completas para AHT"/>
    <tableColumn id="28" xr3:uid="{00000000-0010-0000-0100-00001C000000}" name="Conversação amostra AHT (s)"/>
    <tableColumn id="29" xr3:uid="{00000000-0010-0000-0100-00001D000000}" name="Hold amostra AHT (s)"/>
    <tableColumn id="30" xr3:uid="{00000000-0010-0000-0100-00001E000000}" name="ACW amostra AHT (s)"/>
    <tableColumn id="31" xr3:uid="{00000000-0010-0000-0100-00001F000000}" name="Tratamento total amostra AHT (s)"/>
    <tableColumn id="32" xr3:uid="{00000000-0010-0000-0100-000020000000}" name="AHT (s)"/>
    <tableColumn id="33" xr3:uid="{00000000-0010-0000-0100-000021000000}" name="Horas de tratamento completas"/>
    <tableColumn id="34" xr3:uid="{00000000-0010-0000-0100-000022000000}" name="Eficiência ajustada"/>
    <tableColumn id="35" xr3:uid="{00000000-0010-0000-0100-000023000000}" name="Taxa bruta de abandono"/>
    <tableColumn id="36" xr3:uid="{00000000-0010-0000-0100-000024000000}" name="Taxa sem abandonos curtos"/>
    <tableColumn id="37" xr3:uid="{00000000-0010-0000-0100-000025000000}" name="Operadores distintos"/>
    <tableColumn id="38" xr3:uid="{00000000-0010-0000-0100-000026000000}" name="Atendidas com hold em falta"/>
    <tableColumn id="39" xr3:uid="{00000000-0010-0000-0100-000027000000}" name="Atendidas com ACW em falta"/>
    <tableColumn id="40" xr3:uid="{00000000-0010-0000-0100-000028000000}" name="Atendidas com conversação em falta"/>
    <tableColumn id="41" xr3:uid="{00000000-0010-0000-0100-000029000000}" name="Data com mais entradas"/>
    <tableColumn id="42" xr3:uid="{00000000-0010-0000-0100-00002A000000}" name="Hora com mais entrada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ressAMA" displayName="StressAMA" ref="A6:L30" totalsRowShown="0">
  <tableColumns count="12">
    <tableColumn id="1" xr3:uid="{00000000-0010-0000-0200-000001000000}" name="ID"/>
    <tableColumn id="2" xr3:uid="{00000000-0010-0000-0200-000002000000}" name="Tema"/>
    <tableColumn id="3" xr3:uid="{00000000-0010-0000-0200-000003000000}" name="Contexto / Context (PT/EN)"/>
    <tableColumn id="4" xr3:uid="{00000000-0010-0000-0200-000004000000}" name="Pergunta (PT)"/>
    <tableColumn id="5" xr3:uid="{00000000-0010-0000-0200-000005000000}" name="Question (EN)"/>
    <tableColumn id="6" xr3:uid="{00000000-0010-0000-0200-000006000000}" name="Critérios (PT)"/>
    <tableColumn id="7" xr3:uid="{00000000-0010-0000-0200-000007000000}" name="Criteria (EN)"/>
    <tableColumn id="8" xr3:uid="{00000000-0010-0000-0200-000008000000}" name="Resposta esperada (PT)"/>
    <tableColumn id="9" xr3:uid="{00000000-0010-0000-0200-000009000000}" name="Expected response (EN)"/>
    <tableColumn id="10" xr3:uid="{00000000-0010-0000-0200-00000A000000}" name="Valor de controlo"/>
    <tableColumn id="11" xr3:uid="{00000000-0010-0000-0200-00000B000000}" name="Unidade"/>
    <tableColumn id="12" xr3:uid="{4D99365E-8B5C-4471-BFAE-40AB32EEB405}" name="Respost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iagnosticoQ03" displayName="DiagnosticoQ03" ref="A35:G38" totalsRowShown="0">
  <tableColumns count="7">
    <tableColumn id="1" xr3:uid="{00000000-0010-0000-0300-000001000000}" name="Cenário"/>
    <tableColumn id="2" xr3:uid="{00000000-0010-0000-0300-000002000000}" name="Brutas"/>
    <tableColumn id="3" xr3:uid="{00000000-0010-0000-0300-000003000000}" name="Atendidas"/>
    <tableColumn id="4" xr3:uid="{00000000-0010-0000-0300-000004000000}" name="Não atendidas"/>
    <tableColumn id="5" xr3:uid="{00000000-0010-0000-0300-000005000000}" name="Espera &lt;30 s"/>
    <tableColumn id="6" xr3:uid="{00000000-0010-0000-0300-000006000000}" name="Espera ≥30 s"/>
    <tableColumn id="7" xr3:uid="{00000000-0010-0000-0300-000007000000}" name="Recebidas ajustada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24D"/>
  </sheetPr>
  <dimension ref="A1:K72"/>
  <sheetViews>
    <sheetView showGridLines="0" zoomScale="80" zoomScaleNormal="80" workbookViewId="0">
      <pane xSplit="3" ySplit="6" topLeftCell="D7" activePane="bottomRight" state="frozen"/>
      <selection pane="topRight"/>
      <selection pane="bottomLeft"/>
      <selection pane="bottomRight" activeCell="J66" sqref="J66"/>
    </sheetView>
  </sheetViews>
  <sheetFormatPr defaultRowHeight="14.25"/>
  <cols>
    <col min="1" max="1" width="8" customWidth="1"/>
    <col min="2" max="2" width="18" customWidth="1"/>
    <col min="3" max="3" width="17" customWidth="1"/>
    <col min="4" max="4" width="66" customWidth="1"/>
    <col min="5" max="5" width="66" hidden="1" customWidth="1"/>
    <col min="6" max="6" width="78" customWidth="1"/>
    <col min="7" max="7" width="78" hidden="1" customWidth="1"/>
    <col min="8" max="8" width="27" customWidth="1"/>
    <col min="9" max="9" width="14" style="75" customWidth="1"/>
    <col min="10" max="10" width="17.75" style="75" bestFit="1" customWidth="1"/>
    <col min="11" max="11" width="15.375" style="75" customWidth="1"/>
  </cols>
  <sheetData>
    <row r="1" spans="1:11">
      <c r="A1" s="1"/>
      <c r="B1" s="1"/>
      <c r="C1" s="1"/>
      <c r="D1" s="1"/>
      <c r="E1" s="1"/>
      <c r="F1" s="1"/>
      <c r="G1" s="1"/>
      <c r="H1" s="1"/>
      <c r="I1" s="74"/>
    </row>
    <row r="2" spans="1:11" ht="27" customHeight="1">
      <c r="A2" s="2" t="s">
        <v>0</v>
      </c>
      <c r="B2" s="3"/>
      <c r="C2" s="3"/>
      <c r="D2" s="3"/>
      <c r="E2" s="3"/>
      <c r="F2" s="3"/>
      <c r="G2" s="3"/>
      <c r="H2" s="3"/>
      <c r="I2" s="76"/>
    </row>
    <row r="3" spans="1:11" ht="23.1" customHeight="1">
      <c r="A3" s="4" t="s">
        <v>1</v>
      </c>
      <c r="B3" s="1"/>
      <c r="C3" s="1"/>
      <c r="D3" s="1"/>
      <c r="E3" s="1"/>
      <c r="F3" s="1"/>
      <c r="G3" s="1"/>
      <c r="H3" s="1"/>
      <c r="I3" s="74"/>
    </row>
    <row r="4" spans="1:11" ht="23.1" customHeight="1">
      <c r="A4" s="37" t="s">
        <v>2</v>
      </c>
      <c r="B4" s="1"/>
      <c r="C4" s="1"/>
      <c r="D4" s="1"/>
      <c r="E4" s="1"/>
      <c r="F4" s="1"/>
      <c r="G4" s="1"/>
      <c r="H4" s="1"/>
      <c r="I4" s="74"/>
    </row>
    <row r="5" spans="1:11">
      <c r="A5" s="1"/>
      <c r="B5" s="1"/>
      <c r="C5" s="1"/>
      <c r="D5" s="1"/>
      <c r="E5" s="1"/>
      <c r="F5" s="1"/>
      <c r="G5" s="1"/>
      <c r="H5" s="1"/>
      <c r="I5" s="74"/>
      <c r="J5" s="90" t="s">
        <v>840</v>
      </c>
      <c r="K5" s="90"/>
    </row>
    <row r="6" spans="1:11" ht="44.1" customHeight="1">
      <c r="A6" s="6" t="s">
        <v>3</v>
      </c>
      <c r="B6" s="7" t="s">
        <v>4</v>
      </c>
      <c r="C6" s="7" t="s">
        <v>5</v>
      </c>
      <c r="D6" s="7" t="s">
        <v>6</v>
      </c>
      <c r="E6" s="7" t="s">
        <v>7</v>
      </c>
      <c r="F6" s="7" t="s">
        <v>8</v>
      </c>
      <c r="G6" s="7" t="s">
        <v>9</v>
      </c>
      <c r="H6" s="7" t="s">
        <v>10</v>
      </c>
      <c r="I6" s="8" t="s">
        <v>11</v>
      </c>
      <c r="J6" s="75" t="s">
        <v>837</v>
      </c>
      <c r="K6" s="75" t="s">
        <v>838</v>
      </c>
    </row>
    <row r="7" spans="1:11" ht="102" customHeight="1">
      <c r="A7" s="38" t="s">
        <v>12</v>
      </c>
      <c r="B7" s="39" t="s">
        <v>13</v>
      </c>
      <c r="C7" s="39" t="s">
        <v>14</v>
      </c>
      <c r="D7" s="39" t="s">
        <v>15</v>
      </c>
      <c r="E7" s="39" t="s">
        <v>16</v>
      </c>
      <c r="F7" s="39" t="s">
        <v>17</v>
      </c>
      <c r="G7" s="39" t="s">
        <v>18</v>
      </c>
      <c r="H7" s="40">
        <f>Cálculos!F10</f>
        <v>37402</v>
      </c>
      <c r="I7" s="77" t="s">
        <v>19</v>
      </c>
      <c r="J7" s="75">
        <v>37402</v>
      </c>
      <c r="K7" s="75">
        <v>37402</v>
      </c>
    </row>
    <row r="8" spans="1:11" ht="102" customHeight="1">
      <c r="A8" s="41" t="s">
        <v>20</v>
      </c>
      <c r="B8" s="42" t="s">
        <v>13</v>
      </c>
      <c r="C8" s="42" t="s">
        <v>21</v>
      </c>
      <c r="D8" s="42" t="s">
        <v>22</v>
      </c>
      <c r="E8" s="42" t="s">
        <v>23</v>
      </c>
      <c r="F8" s="42" t="s">
        <v>24</v>
      </c>
      <c r="G8" s="42" t="s">
        <v>25</v>
      </c>
      <c r="H8" s="43">
        <f>Cálculos!F17</f>
        <v>37740</v>
      </c>
      <c r="I8" s="78" t="s">
        <v>19</v>
      </c>
      <c r="J8" s="75">
        <v>37740</v>
      </c>
      <c r="K8" s="75">
        <v>37740</v>
      </c>
    </row>
    <row r="9" spans="1:11" ht="198" customHeight="1">
      <c r="A9" s="38" t="s">
        <v>26</v>
      </c>
      <c r="B9" s="39" t="s">
        <v>13</v>
      </c>
      <c r="C9" s="39" t="s">
        <v>14</v>
      </c>
      <c r="D9" s="39" t="s">
        <v>27</v>
      </c>
      <c r="E9" s="39" t="s">
        <v>28</v>
      </c>
      <c r="F9" s="39" t="s">
        <v>29</v>
      </c>
      <c r="G9" s="39" t="s">
        <v>30</v>
      </c>
      <c r="H9" s="40">
        <f>Cálculos!J10</f>
        <v>37028</v>
      </c>
      <c r="I9" s="77" t="s">
        <v>19</v>
      </c>
      <c r="J9" s="75">
        <v>37028</v>
      </c>
      <c r="K9" s="75">
        <v>37028</v>
      </c>
    </row>
    <row r="10" spans="1:11" ht="198" customHeight="1">
      <c r="A10" s="41" t="s">
        <v>31</v>
      </c>
      <c r="B10" s="42" t="s">
        <v>13</v>
      </c>
      <c r="C10" s="42" t="s">
        <v>21</v>
      </c>
      <c r="D10" s="42" t="s">
        <v>32</v>
      </c>
      <c r="E10" s="42" t="s">
        <v>33</v>
      </c>
      <c r="F10" s="42" t="s">
        <v>34</v>
      </c>
      <c r="G10" s="42" t="s">
        <v>35</v>
      </c>
      <c r="H10" s="43">
        <f>Cálculos!J17</f>
        <v>37356</v>
      </c>
      <c r="I10" s="78" t="s">
        <v>19</v>
      </c>
      <c r="J10" s="75">
        <v>37356</v>
      </c>
      <c r="K10" s="75">
        <v>37356</v>
      </c>
    </row>
    <row r="11" spans="1:11" ht="150" customHeight="1">
      <c r="A11" s="44" t="s">
        <v>36</v>
      </c>
      <c r="B11" s="45" t="s">
        <v>37</v>
      </c>
      <c r="C11" s="45" t="s">
        <v>14</v>
      </c>
      <c r="D11" s="45" t="s">
        <v>38</v>
      </c>
      <c r="E11" s="45" t="s">
        <v>39</v>
      </c>
      <c r="F11" s="45" t="s">
        <v>40</v>
      </c>
      <c r="G11" s="45" t="s">
        <v>41</v>
      </c>
      <c r="H11" s="46">
        <f>Cálculos!G10</f>
        <v>35913</v>
      </c>
      <c r="I11" s="79" t="s">
        <v>19</v>
      </c>
      <c r="J11" s="75">
        <v>35913</v>
      </c>
      <c r="K11" s="75">
        <v>35913</v>
      </c>
    </row>
    <row r="12" spans="1:11" ht="150" customHeight="1">
      <c r="A12" s="41" t="s">
        <v>42</v>
      </c>
      <c r="B12" s="42" t="s">
        <v>37</v>
      </c>
      <c r="C12" s="42" t="s">
        <v>21</v>
      </c>
      <c r="D12" s="42" t="s">
        <v>43</v>
      </c>
      <c r="E12" s="42" t="s">
        <v>44</v>
      </c>
      <c r="F12" s="42" t="s">
        <v>45</v>
      </c>
      <c r="G12" s="42" t="s">
        <v>46</v>
      </c>
      <c r="H12" s="43">
        <f>Cálculos!G17</f>
        <v>36148</v>
      </c>
      <c r="I12" s="78" t="s">
        <v>19</v>
      </c>
      <c r="J12" s="75">
        <v>36148</v>
      </c>
      <c r="K12" s="75">
        <v>36148</v>
      </c>
    </row>
    <row r="13" spans="1:11" ht="150" customHeight="1">
      <c r="A13" s="44" t="s">
        <v>47</v>
      </c>
      <c r="B13" s="45" t="s">
        <v>48</v>
      </c>
      <c r="C13" s="45" t="s">
        <v>14</v>
      </c>
      <c r="D13" s="45" t="s">
        <v>49</v>
      </c>
      <c r="E13" s="45" t="s">
        <v>50</v>
      </c>
      <c r="F13" s="45" t="s">
        <v>51</v>
      </c>
      <c r="G13" s="45" t="s">
        <v>52</v>
      </c>
      <c r="H13" s="46">
        <f>Cálculos!H10</f>
        <v>1489</v>
      </c>
      <c r="I13" s="79" t="s">
        <v>19</v>
      </c>
      <c r="J13" s="75">
        <v>1489</v>
      </c>
      <c r="K13" s="75">
        <v>1489</v>
      </c>
    </row>
    <row r="14" spans="1:11" ht="150" customHeight="1">
      <c r="A14" s="41" t="s">
        <v>53</v>
      </c>
      <c r="B14" s="42" t="s">
        <v>48</v>
      </c>
      <c r="C14" s="42" t="s">
        <v>21</v>
      </c>
      <c r="D14" s="42" t="s">
        <v>54</v>
      </c>
      <c r="E14" s="42" t="s">
        <v>55</v>
      </c>
      <c r="F14" s="42" t="s">
        <v>56</v>
      </c>
      <c r="G14" s="42" t="s">
        <v>57</v>
      </c>
      <c r="H14" s="43">
        <f>Cálculos!H17</f>
        <v>1592</v>
      </c>
      <c r="I14" s="78" t="s">
        <v>19</v>
      </c>
      <c r="J14" s="75">
        <v>1592</v>
      </c>
      <c r="K14" s="75">
        <v>1592</v>
      </c>
    </row>
    <row r="15" spans="1:11" ht="198" customHeight="1">
      <c r="A15" s="38" t="s">
        <v>58</v>
      </c>
      <c r="B15" s="39" t="s">
        <v>48</v>
      </c>
      <c r="C15" s="39" t="s">
        <v>14</v>
      </c>
      <c r="D15" s="39" t="s">
        <v>59</v>
      </c>
      <c r="E15" s="39" t="s">
        <v>60</v>
      </c>
      <c r="F15" s="39" t="s">
        <v>61</v>
      </c>
      <c r="G15" s="39" t="s">
        <v>62</v>
      </c>
      <c r="H15" s="40">
        <f>Cálculos!I10</f>
        <v>374</v>
      </c>
      <c r="I15" s="77" t="s">
        <v>19</v>
      </c>
      <c r="J15" s="75">
        <v>374</v>
      </c>
      <c r="K15" s="75">
        <v>374</v>
      </c>
    </row>
    <row r="16" spans="1:11" ht="198" customHeight="1">
      <c r="A16" s="41" t="s">
        <v>63</v>
      </c>
      <c r="B16" s="42" t="s">
        <v>48</v>
      </c>
      <c r="C16" s="42" t="s">
        <v>21</v>
      </c>
      <c r="D16" s="42" t="s">
        <v>64</v>
      </c>
      <c r="E16" s="42" t="s">
        <v>65</v>
      </c>
      <c r="F16" s="42" t="s">
        <v>66</v>
      </c>
      <c r="G16" s="42" t="s">
        <v>67</v>
      </c>
      <c r="H16" s="43">
        <f>Cálculos!I17</f>
        <v>384</v>
      </c>
      <c r="I16" s="78" t="s">
        <v>19</v>
      </c>
      <c r="J16" s="43">
        <v>384</v>
      </c>
      <c r="K16" s="75">
        <v>384</v>
      </c>
    </row>
    <row r="17" spans="1:11" ht="198" customHeight="1">
      <c r="A17" s="38" t="s">
        <v>68</v>
      </c>
      <c r="B17" s="39" t="s">
        <v>48</v>
      </c>
      <c r="C17" s="39" t="s">
        <v>14</v>
      </c>
      <c r="D17" s="39" t="s">
        <v>69</v>
      </c>
      <c r="E17" s="39" t="s">
        <v>70</v>
      </c>
      <c r="F17" s="39" t="s">
        <v>71</v>
      </c>
      <c r="G17" s="39" t="s">
        <v>72</v>
      </c>
      <c r="H17" s="40">
        <f>Cálculos!K10</f>
        <v>1115</v>
      </c>
      <c r="I17" s="77" t="s">
        <v>19</v>
      </c>
      <c r="J17" s="75">
        <v>1115</v>
      </c>
      <c r="K17" s="75">
        <v>1115</v>
      </c>
    </row>
    <row r="18" spans="1:11" ht="198" customHeight="1">
      <c r="A18" s="41" t="s">
        <v>73</v>
      </c>
      <c r="B18" s="42" t="s">
        <v>48</v>
      </c>
      <c r="C18" s="42" t="s">
        <v>21</v>
      </c>
      <c r="D18" s="42" t="s">
        <v>74</v>
      </c>
      <c r="E18" s="42" t="s">
        <v>75</v>
      </c>
      <c r="F18" s="42" t="s">
        <v>76</v>
      </c>
      <c r="G18" s="42" t="s">
        <v>77</v>
      </c>
      <c r="H18" s="43">
        <f>Cálculos!K17</f>
        <v>1208</v>
      </c>
      <c r="I18" s="78" t="s">
        <v>19</v>
      </c>
      <c r="J18" s="75">
        <v>1208</v>
      </c>
      <c r="K18" s="75">
        <v>1208</v>
      </c>
    </row>
    <row r="19" spans="1:11" ht="198" customHeight="1">
      <c r="A19" s="44" t="s">
        <v>78</v>
      </c>
      <c r="B19" s="45" t="s">
        <v>79</v>
      </c>
      <c r="C19" s="45" t="s">
        <v>14</v>
      </c>
      <c r="D19" s="45" t="s">
        <v>80</v>
      </c>
      <c r="E19" s="45" t="s">
        <v>81</v>
      </c>
      <c r="F19" s="45" t="s">
        <v>82</v>
      </c>
      <c r="G19" s="45" t="s">
        <v>83</v>
      </c>
      <c r="H19" s="48">
        <f>Cálculos!AH10</f>
        <v>0.96988765258723131</v>
      </c>
      <c r="I19" s="79" t="s">
        <v>84</v>
      </c>
      <c r="J19" s="80">
        <v>0.96989999999999998</v>
      </c>
      <c r="K19" s="80">
        <v>0.96989999999999998</v>
      </c>
    </row>
    <row r="20" spans="1:11" ht="198" customHeight="1">
      <c r="A20" s="41" t="s">
        <v>85</v>
      </c>
      <c r="B20" s="42" t="s">
        <v>79</v>
      </c>
      <c r="C20" s="42" t="s">
        <v>21</v>
      </c>
      <c r="D20" s="42" t="s">
        <v>86</v>
      </c>
      <c r="E20" s="42" t="s">
        <v>87</v>
      </c>
      <c r="F20" s="42" t="s">
        <v>88</v>
      </c>
      <c r="G20" s="42" t="s">
        <v>89</v>
      </c>
      <c r="H20" s="49">
        <f>Cálculos!AH17</f>
        <v>0.96766249063068854</v>
      </c>
      <c r="I20" s="78" t="s">
        <v>84</v>
      </c>
      <c r="J20" s="49">
        <v>0.9677</v>
      </c>
      <c r="K20" s="49">
        <v>0.9677</v>
      </c>
    </row>
    <row r="21" spans="1:11" ht="150" customHeight="1">
      <c r="A21" s="44" t="s">
        <v>90</v>
      </c>
      <c r="B21" s="45" t="s">
        <v>48</v>
      </c>
      <c r="C21" s="45" t="s">
        <v>14</v>
      </c>
      <c r="D21" s="45" t="s">
        <v>91</v>
      </c>
      <c r="E21" s="45" t="s">
        <v>92</v>
      </c>
      <c r="F21" s="45" t="s">
        <v>93</v>
      </c>
      <c r="G21" s="45" t="s">
        <v>94</v>
      </c>
      <c r="H21" s="48">
        <f>Cálculos!AI10</f>
        <v>3.981070530987648E-2</v>
      </c>
      <c r="I21" s="79" t="s">
        <v>84</v>
      </c>
      <c r="J21" s="80">
        <v>3.9800000000000002E-2</v>
      </c>
      <c r="K21" s="80">
        <v>3.9800000000000002E-2</v>
      </c>
    </row>
    <row r="22" spans="1:11" ht="150" customHeight="1">
      <c r="A22" s="41" t="s">
        <v>95</v>
      </c>
      <c r="B22" s="42" t="s">
        <v>48</v>
      </c>
      <c r="C22" s="42" t="s">
        <v>21</v>
      </c>
      <c r="D22" s="42" t="s">
        <v>96</v>
      </c>
      <c r="E22" s="42" t="s">
        <v>97</v>
      </c>
      <c r="F22" s="42" t="s">
        <v>98</v>
      </c>
      <c r="G22" s="42" t="s">
        <v>99</v>
      </c>
      <c r="H22" s="49">
        <f>Cálculos!AI17</f>
        <v>4.2183359830418654E-2</v>
      </c>
      <c r="I22" s="78" t="s">
        <v>84</v>
      </c>
      <c r="J22" s="80">
        <v>4.2200000000000001E-2</v>
      </c>
      <c r="K22" s="80">
        <v>4.2200000000000001E-2</v>
      </c>
    </row>
    <row r="23" spans="1:11" ht="198" customHeight="1">
      <c r="A23" s="38" t="s">
        <v>100</v>
      </c>
      <c r="B23" s="39" t="s">
        <v>48</v>
      </c>
      <c r="C23" s="39" t="s">
        <v>14</v>
      </c>
      <c r="D23" s="39" t="s">
        <v>101</v>
      </c>
      <c r="E23" s="39" t="s">
        <v>102</v>
      </c>
      <c r="F23" s="39" t="s">
        <v>103</v>
      </c>
      <c r="G23" s="39" t="s">
        <v>104</v>
      </c>
      <c r="H23" s="47">
        <f>Cálculos!AJ10</f>
        <v>3.0112347412768716E-2</v>
      </c>
      <c r="I23" s="77" t="s">
        <v>84</v>
      </c>
      <c r="J23" s="80">
        <v>3.0099999999999998E-2</v>
      </c>
      <c r="K23" s="80">
        <v>3.0099999999999998E-2</v>
      </c>
    </row>
    <row r="24" spans="1:11" ht="198" customHeight="1">
      <c r="A24" s="41" t="s">
        <v>105</v>
      </c>
      <c r="B24" s="42" t="s">
        <v>48</v>
      </c>
      <c r="C24" s="42" t="s">
        <v>21</v>
      </c>
      <c r="D24" s="42" t="s">
        <v>106</v>
      </c>
      <c r="E24" s="42" t="s">
        <v>107</v>
      </c>
      <c r="F24" s="42" t="s">
        <v>108</v>
      </c>
      <c r="G24" s="42" t="s">
        <v>109</v>
      </c>
      <c r="H24" s="49">
        <f>Cálculos!AJ17</f>
        <v>3.2337509369311492E-2</v>
      </c>
      <c r="I24" s="78" t="s">
        <v>84</v>
      </c>
      <c r="J24" s="80">
        <v>3.2300000000000002E-2</v>
      </c>
      <c r="K24" s="80">
        <v>3.2300000000000002E-2</v>
      </c>
    </row>
    <row r="25" spans="1:11" ht="198" customHeight="1">
      <c r="A25" s="44" t="s">
        <v>110</v>
      </c>
      <c r="B25" s="45" t="s">
        <v>111</v>
      </c>
      <c r="C25" s="45" t="s">
        <v>14</v>
      </c>
      <c r="D25" s="45" t="s">
        <v>112</v>
      </c>
      <c r="E25" s="45" t="s">
        <v>113</v>
      </c>
      <c r="F25" s="45" t="s">
        <v>114</v>
      </c>
      <c r="G25" s="45" t="s">
        <v>115</v>
      </c>
      <c r="H25" s="48">
        <f>Cálculos!O10</f>
        <v>0.84882911480522372</v>
      </c>
      <c r="I25" s="79" t="s">
        <v>84</v>
      </c>
      <c r="J25" s="80">
        <v>0.8488</v>
      </c>
      <c r="K25" s="80">
        <v>0.8488</v>
      </c>
    </row>
    <row r="26" spans="1:11" ht="198" customHeight="1">
      <c r="A26" s="41" t="s">
        <v>116</v>
      </c>
      <c r="B26" s="42" t="s">
        <v>111</v>
      </c>
      <c r="C26" s="42" t="s">
        <v>21</v>
      </c>
      <c r="D26" s="42" t="s">
        <v>117</v>
      </c>
      <c r="E26" s="42" t="s">
        <v>118</v>
      </c>
      <c r="F26" s="42" t="s">
        <v>119</v>
      </c>
      <c r="G26" s="42" t="s">
        <v>120</v>
      </c>
      <c r="H26" s="49">
        <f>Cálculos!O17</f>
        <v>0.84715613588580285</v>
      </c>
      <c r="I26" s="78" t="s">
        <v>84</v>
      </c>
      <c r="J26" s="80">
        <v>0.84719999999999995</v>
      </c>
      <c r="K26" s="80">
        <v>0.84719999999999995</v>
      </c>
    </row>
    <row r="27" spans="1:11" ht="198" customHeight="1">
      <c r="A27" s="44" t="s">
        <v>121</v>
      </c>
      <c r="B27" s="45" t="s">
        <v>122</v>
      </c>
      <c r="C27" s="45" t="s">
        <v>14</v>
      </c>
      <c r="D27" s="45" t="s">
        <v>123</v>
      </c>
      <c r="E27" s="45" t="s">
        <v>124</v>
      </c>
      <c r="F27" s="45" t="s">
        <v>125</v>
      </c>
      <c r="G27" s="45" t="s">
        <v>126</v>
      </c>
      <c r="H27" s="51">
        <f>Cálculos!Q10</f>
        <v>16.587133266505163</v>
      </c>
      <c r="I27" s="79" t="s">
        <v>127</v>
      </c>
      <c r="J27" s="80">
        <v>0.16589999999999999</v>
      </c>
      <c r="K27" s="80">
        <v>0.16589999999999999</v>
      </c>
    </row>
    <row r="28" spans="1:11" ht="198" customHeight="1">
      <c r="A28" s="41" t="s">
        <v>128</v>
      </c>
      <c r="B28" s="42" t="s">
        <v>122</v>
      </c>
      <c r="C28" s="42" t="s">
        <v>21</v>
      </c>
      <c r="D28" s="42" t="s">
        <v>129</v>
      </c>
      <c r="E28" s="42" t="s">
        <v>130</v>
      </c>
      <c r="F28" s="42" t="s">
        <v>131</v>
      </c>
      <c r="G28" s="42" t="s">
        <v>132</v>
      </c>
      <c r="H28" s="52">
        <f>Cálculos!Q17</f>
        <v>17.05508968684298</v>
      </c>
      <c r="I28" s="78" t="s">
        <v>127</v>
      </c>
      <c r="J28" s="75">
        <v>17.059999999999999</v>
      </c>
      <c r="K28" s="75">
        <v>17.059999999999999</v>
      </c>
    </row>
    <row r="29" spans="1:11" ht="162" customHeight="1">
      <c r="A29" s="44" t="s">
        <v>133</v>
      </c>
      <c r="B29" s="45" t="s">
        <v>134</v>
      </c>
      <c r="C29" s="45" t="s">
        <v>14</v>
      </c>
      <c r="D29" s="45" t="s">
        <v>135</v>
      </c>
      <c r="E29" s="45" t="s">
        <v>136</v>
      </c>
      <c r="F29" s="45" t="s">
        <v>137</v>
      </c>
      <c r="G29" s="45" t="s">
        <v>138</v>
      </c>
      <c r="H29" s="51">
        <f>Cálculos!T10</f>
        <v>364.35446774148636</v>
      </c>
      <c r="I29" s="79" t="s">
        <v>127</v>
      </c>
      <c r="J29" s="75">
        <v>364.35</v>
      </c>
      <c r="K29" s="75">
        <v>364.35</v>
      </c>
    </row>
    <row r="30" spans="1:11" ht="162" customHeight="1">
      <c r="A30" s="41" t="s">
        <v>139</v>
      </c>
      <c r="B30" s="42" t="s">
        <v>134</v>
      </c>
      <c r="C30" s="42" t="s">
        <v>21</v>
      </c>
      <c r="D30" s="81" t="s">
        <v>839</v>
      </c>
      <c r="E30" s="42" t="s">
        <v>140</v>
      </c>
      <c r="F30" s="42" t="s">
        <v>141</v>
      </c>
      <c r="G30" s="42" t="s">
        <v>142</v>
      </c>
      <c r="H30" s="52">
        <f>Cálculos!T17</f>
        <v>364.03831470620781</v>
      </c>
      <c r="I30" s="78" t="s">
        <v>127</v>
      </c>
      <c r="J30" s="75">
        <v>364.04</v>
      </c>
      <c r="K30" s="75">
        <v>364.04</v>
      </c>
    </row>
    <row r="31" spans="1:11" ht="162" customHeight="1">
      <c r="A31" s="38" t="s">
        <v>143</v>
      </c>
      <c r="B31" s="39" t="s">
        <v>134</v>
      </c>
      <c r="C31" s="39" t="s">
        <v>14</v>
      </c>
      <c r="D31" s="39" t="s">
        <v>144</v>
      </c>
      <c r="E31" s="39" t="s">
        <v>145</v>
      </c>
      <c r="F31" s="39" t="s">
        <v>146</v>
      </c>
      <c r="G31" s="39" t="s">
        <v>147</v>
      </c>
      <c r="H31" s="50">
        <f>Cálculos!W10</f>
        <v>13.607108425991388</v>
      </c>
      <c r="I31" s="77" t="s">
        <v>127</v>
      </c>
      <c r="J31" s="75">
        <v>13.61</v>
      </c>
      <c r="K31" s="75">
        <v>13.61</v>
      </c>
    </row>
    <row r="32" spans="1:11" ht="162" customHeight="1">
      <c r="A32" s="41" t="s">
        <v>148</v>
      </c>
      <c r="B32" s="42" t="s">
        <v>134</v>
      </c>
      <c r="C32" s="42" t="s">
        <v>21</v>
      </c>
      <c r="D32" s="42" t="s">
        <v>149</v>
      </c>
      <c r="E32" s="42" t="s">
        <v>150</v>
      </c>
      <c r="F32" s="42" t="s">
        <v>151</v>
      </c>
      <c r="G32" s="42" t="s">
        <v>152</v>
      </c>
      <c r="H32" s="52">
        <f>Cálculos!W17</f>
        <v>13.701226131936906</v>
      </c>
      <c r="I32" s="78" t="s">
        <v>127</v>
      </c>
      <c r="J32" s="75">
        <v>13.7</v>
      </c>
      <c r="K32" s="75">
        <v>13.7</v>
      </c>
    </row>
    <row r="33" spans="1:11" ht="162" customHeight="1">
      <c r="A33" s="38" t="s">
        <v>153</v>
      </c>
      <c r="B33" s="39" t="s">
        <v>134</v>
      </c>
      <c r="C33" s="39" t="s">
        <v>14</v>
      </c>
      <c r="D33" s="39" t="s">
        <v>154</v>
      </c>
      <c r="E33" s="39" t="s">
        <v>155</v>
      </c>
      <c r="F33" s="39" t="s">
        <v>156</v>
      </c>
      <c r="G33" s="39" t="s">
        <v>157</v>
      </c>
      <c r="H33" s="50">
        <f>Cálculos!Z10</f>
        <v>2.4729895299621298</v>
      </c>
      <c r="I33" s="77" t="s">
        <v>127</v>
      </c>
      <c r="J33" s="75">
        <v>2.4700000000000002</v>
      </c>
      <c r="K33" s="75">
        <v>2.4700000000000002</v>
      </c>
    </row>
    <row r="34" spans="1:11" ht="162" customHeight="1">
      <c r="A34" s="41" t="s">
        <v>158</v>
      </c>
      <c r="B34" s="42" t="s">
        <v>134</v>
      </c>
      <c r="C34" s="42" t="s">
        <v>21</v>
      </c>
      <c r="D34" s="42" t="s">
        <v>159</v>
      </c>
      <c r="E34" s="42" t="s">
        <v>160</v>
      </c>
      <c r="F34" s="42" t="s">
        <v>161</v>
      </c>
      <c r="G34" s="42" t="s">
        <v>162</v>
      </c>
      <c r="H34" s="52">
        <f>Cálculos!Z17</f>
        <v>2.485960107339475</v>
      </c>
      <c r="I34" s="78" t="s">
        <v>127</v>
      </c>
      <c r="J34" s="75">
        <v>2.4900000000000002</v>
      </c>
      <c r="K34" s="75">
        <v>2.4900000000000002</v>
      </c>
    </row>
    <row r="35" spans="1:11" ht="162" customHeight="1">
      <c r="A35" s="44" t="s">
        <v>163</v>
      </c>
      <c r="B35" s="45" t="s">
        <v>164</v>
      </c>
      <c r="C35" s="45" t="s">
        <v>14</v>
      </c>
      <c r="D35" s="45" t="s">
        <v>165</v>
      </c>
      <c r="E35" s="45" t="s">
        <v>166</v>
      </c>
      <c r="F35" s="45" t="s">
        <v>167</v>
      </c>
      <c r="G35" s="45" t="s">
        <v>168</v>
      </c>
      <c r="H35" s="51">
        <f>Cálculos!AF10</f>
        <v>385.30249373353041</v>
      </c>
      <c r="I35" s="79" t="s">
        <v>127</v>
      </c>
      <c r="J35" s="75">
        <v>385.3</v>
      </c>
      <c r="K35" s="75">
        <v>385.3</v>
      </c>
    </row>
    <row r="36" spans="1:11" ht="162" customHeight="1">
      <c r="A36" s="41" t="s">
        <v>169</v>
      </c>
      <c r="B36" s="42" t="s">
        <v>164</v>
      </c>
      <c r="C36" s="42" t="s">
        <v>21</v>
      </c>
      <c r="D36" s="42" t="s">
        <v>170</v>
      </c>
      <c r="E36" s="42" t="s">
        <v>171</v>
      </c>
      <c r="F36" s="42" t="s">
        <v>172</v>
      </c>
      <c r="G36" s="42" t="s">
        <v>173</v>
      </c>
      <c r="H36" s="52">
        <f>Cálculos!AF17</f>
        <v>385.133597292292</v>
      </c>
      <c r="I36" s="78" t="s">
        <v>127</v>
      </c>
      <c r="J36" s="75">
        <v>385.13</v>
      </c>
      <c r="K36" s="75">
        <v>385.13</v>
      </c>
    </row>
    <row r="37" spans="1:11" ht="162" customHeight="1">
      <c r="A37" s="44" t="s">
        <v>174</v>
      </c>
      <c r="B37" s="45" t="s">
        <v>175</v>
      </c>
      <c r="C37" s="45" t="s">
        <v>14</v>
      </c>
      <c r="D37" s="45" t="s">
        <v>176</v>
      </c>
      <c r="E37" s="45" t="s">
        <v>177</v>
      </c>
      <c r="F37" s="45" t="s">
        <v>178</v>
      </c>
      <c r="G37" s="45" t="s">
        <v>179</v>
      </c>
      <c r="H37" s="51">
        <f>Cálculos!AG10</f>
        <v>3330.5119444444445</v>
      </c>
      <c r="I37" s="79" t="s">
        <v>180</v>
      </c>
      <c r="J37" s="75">
        <v>3330.51</v>
      </c>
      <c r="K37" s="75">
        <v>3330.51</v>
      </c>
    </row>
    <row r="38" spans="1:11" ht="162" customHeight="1">
      <c r="A38" s="41" t="s">
        <v>181</v>
      </c>
      <c r="B38" s="42" t="s">
        <v>175</v>
      </c>
      <c r="C38" s="42" t="s">
        <v>21</v>
      </c>
      <c r="D38" s="42" t="s">
        <v>182</v>
      </c>
      <c r="E38" s="42" t="s">
        <v>183</v>
      </c>
      <c r="F38" s="42" t="s">
        <v>184</v>
      </c>
      <c r="G38" s="42" t="s">
        <v>185</v>
      </c>
      <c r="H38" s="52">
        <f>Cálculos!AG17</f>
        <v>3350.4483333333333</v>
      </c>
      <c r="I38" s="78" t="s">
        <v>180</v>
      </c>
      <c r="J38" s="75">
        <v>3350.45</v>
      </c>
      <c r="K38" s="75">
        <v>3350.45</v>
      </c>
    </row>
    <row r="39" spans="1:11" ht="162" customHeight="1">
      <c r="A39" s="44" t="s">
        <v>186</v>
      </c>
      <c r="B39" s="45" t="s">
        <v>187</v>
      </c>
      <c r="C39" s="45" t="s">
        <v>14</v>
      </c>
      <c r="D39" s="45" t="s">
        <v>188</v>
      </c>
      <c r="E39" s="45" t="s">
        <v>189</v>
      </c>
      <c r="F39" s="45" t="s">
        <v>190</v>
      </c>
      <c r="G39" s="45" t="s">
        <v>191</v>
      </c>
      <c r="H39" s="46">
        <f>Cálculos!AL10</f>
        <v>4795</v>
      </c>
      <c r="I39" s="79" t="s">
        <v>19</v>
      </c>
      <c r="J39" s="75">
        <v>4795</v>
      </c>
      <c r="K39" s="75">
        <v>4795</v>
      </c>
    </row>
    <row r="40" spans="1:11" ht="162" customHeight="1">
      <c r="A40" s="41" t="s">
        <v>192</v>
      </c>
      <c r="B40" s="42" t="s">
        <v>187</v>
      </c>
      <c r="C40" s="42" t="s">
        <v>21</v>
      </c>
      <c r="D40" s="42" t="s">
        <v>193</v>
      </c>
      <c r="E40" s="42" t="s">
        <v>194</v>
      </c>
      <c r="F40" s="42" t="s">
        <v>195</v>
      </c>
      <c r="G40" s="42" t="s">
        <v>196</v>
      </c>
      <c r="H40" s="43">
        <f>Cálculos!AL17</f>
        <v>4830</v>
      </c>
      <c r="I40" s="78" t="s">
        <v>19</v>
      </c>
      <c r="J40" s="75">
        <v>4830</v>
      </c>
      <c r="K40" s="75">
        <v>4830</v>
      </c>
    </row>
    <row r="41" spans="1:11" ht="114" customHeight="1">
      <c r="A41" s="44" t="s">
        <v>197</v>
      </c>
      <c r="B41" s="45" t="s">
        <v>198</v>
      </c>
      <c r="C41" s="45" t="s">
        <v>14</v>
      </c>
      <c r="D41" s="45" t="s">
        <v>199</v>
      </c>
      <c r="E41" s="45" t="s">
        <v>200</v>
      </c>
      <c r="F41" s="45" t="s">
        <v>201</v>
      </c>
      <c r="G41" s="45" t="s">
        <v>202</v>
      </c>
      <c r="H41" s="46">
        <f>Cálculos!M10</f>
        <v>419</v>
      </c>
      <c r="I41" s="79" t="s">
        <v>19</v>
      </c>
      <c r="J41" s="75">
        <v>419</v>
      </c>
      <c r="K41" s="75">
        <v>419</v>
      </c>
    </row>
    <row r="42" spans="1:11" ht="114" customHeight="1">
      <c r="A42" s="41" t="s">
        <v>203</v>
      </c>
      <c r="B42" s="42" t="s">
        <v>198</v>
      </c>
      <c r="C42" s="42" t="s">
        <v>21</v>
      </c>
      <c r="D42" s="42" t="s">
        <v>204</v>
      </c>
      <c r="E42" s="42" t="s">
        <v>205</v>
      </c>
      <c r="F42" s="42" t="s">
        <v>206</v>
      </c>
      <c r="G42" s="42" t="s">
        <v>207</v>
      </c>
      <c r="H42" s="43">
        <f>Cálculos!M17</f>
        <v>419</v>
      </c>
      <c r="I42" s="78" t="s">
        <v>19</v>
      </c>
      <c r="J42" s="75">
        <v>419</v>
      </c>
      <c r="K42" s="75">
        <v>419</v>
      </c>
    </row>
    <row r="43" spans="1:11" ht="150" customHeight="1">
      <c r="A43" s="44" t="s">
        <v>208</v>
      </c>
      <c r="B43" s="45" t="s">
        <v>209</v>
      </c>
      <c r="C43" s="45" t="s">
        <v>14</v>
      </c>
      <c r="D43" s="45" t="s">
        <v>210</v>
      </c>
      <c r="E43" s="45" t="s">
        <v>211</v>
      </c>
      <c r="F43" s="45" t="s">
        <v>212</v>
      </c>
      <c r="G43" s="45" t="s">
        <v>213</v>
      </c>
      <c r="H43" s="46">
        <f>Cálculos!AK10</f>
        <v>51</v>
      </c>
      <c r="I43" s="79" t="s">
        <v>214</v>
      </c>
      <c r="J43" s="75">
        <v>51</v>
      </c>
      <c r="K43" s="75">
        <v>51</v>
      </c>
    </row>
    <row r="44" spans="1:11" ht="150" customHeight="1">
      <c r="A44" s="41" t="s">
        <v>215</v>
      </c>
      <c r="B44" s="42" t="s">
        <v>209</v>
      </c>
      <c r="C44" s="42" t="s">
        <v>21</v>
      </c>
      <c r="D44" s="42" t="s">
        <v>216</v>
      </c>
      <c r="E44" s="42" t="s">
        <v>217</v>
      </c>
      <c r="F44" s="42" t="s">
        <v>218</v>
      </c>
      <c r="G44" s="42" t="s">
        <v>219</v>
      </c>
      <c r="H44" s="43">
        <f>Cálculos!AK17</f>
        <v>51</v>
      </c>
      <c r="I44" s="78" t="s">
        <v>214</v>
      </c>
      <c r="J44" s="75">
        <v>51</v>
      </c>
      <c r="K44" s="75">
        <v>51</v>
      </c>
    </row>
    <row r="45" spans="1:11" ht="102" customHeight="1">
      <c r="A45" s="44" t="s">
        <v>220</v>
      </c>
      <c r="B45" s="45" t="s">
        <v>221</v>
      </c>
      <c r="C45" s="45" t="s">
        <v>14</v>
      </c>
      <c r="D45" s="45" t="s">
        <v>222</v>
      </c>
      <c r="E45" s="45" t="s">
        <v>223</v>
      </c>
      <c r="F45" s="82" t="s">
        <v>224</v>
      </c>
      <c r="G45" s="45" t="s">
        <v>225</v>
      </c>
      <c r="H45" s="48">
        <f>Cálculos!F30</f>
        <v>-5.4047902071372556E-2</v>
      </c>
      <c r="I45" s="79" t="s">
        <v>84</v>
      </c>
      <c r="J45" s="80">
        <v>-5.3999999999999999E-2</v>
      </c>
      <c r="K45" s="80">
        <v>-5.3999999999999999E-2</v>
      </c>
    </row>
    <row r="46" spans="1:11" ht="102" customHeight="1">
      <c r="A46" s="41" t="s">
        <v>226</v>
      </c>
      <c r="B46" s="42" t="s">
        <v>221</v>
      </c>
      <c r="C46" s="42" t="s">
        <v>21</v>
      </c>
      <c r="D46" s="42" t="s">
        <v>227</v>
      </c>
      <c r="E46" s="42" t="s">
        <v>228</v>
      </c>
      <c r="F46" s="42" t="s">
        <v>229</v>
      </c>
      <c r="G46" s="42" t="s">
        <v>230</v>
      </c>
      <c r="H46" s="49">
        <f>Cálculos!F31</f>
        <v>-5.501164333825781E-2</v>
      </c>
      <c r="I46" s="78" t="s">
        <v>84</v>
      </c>
      <c r="J46" s="80">
        <v>-5.5E-2</v>
      </c>
      <c r="K46" s="80">
        <v>-5.5E-2</v>
      </c>
    </row>
    <row r="47" spans="1:11" ht="102" customHeight="1">
      <c r="A47" s="44" t="s">
        <v>231</v>
      </c>
      <c r="B47" s="45" t="s">
        <v>232</v>
      </c>
      <c r="C47" s="45" t="s">
        <v>14</v>
      </c>
      <c r="D47" s="45" t="s">
        <v>233</v>
      </c>
      <c r="E47" s="45" t="s">
        <v>234</v>
      </c>
      <c r="F47" s="45" t="s">
        <v>235</v>
      </c>
      <c r="G47" s="45" t="s">
        <v>236</v>
      </c>
      <c r="H47" s="48">
        <f>Cálculos!F32</f>
        <v>-8.8267557223996262E-2</v>
      </c>
      <c r="I47" s="79" t="s">
        <v>84</v>
      </c>
      <c r="J47" s="80">
        <v>-8.8300000000000003E-2</v>
      </c>
      <c r="K47" s="80">
        <v>-8.8300000000000003E-2</v>
      </c>
    </row>
    <row r="48" spans="1:11" ht="102" customHeight="1">
      <c r="A48" s="41" t="s">
        <v>237</v>
      </c>
      <c r="B48" s="42" t="s">
        <v>232</v>
      </c>
      <c r="C48" s="42" t="s">
        <v>21</v>
      </c>
      <c r="D48" s="42" t="s">
        <v>238</v>
      </c>
      <c r="E48" s="42" t="s">
        <v>239</v>
      </c>
      <c r="F48" s="42" t="s">
        <v>240</v>
      </c>
      <c r="G48" s="42" t="s">
        <v>241</v>
      </c>
      <c r="H48" s="49">
        <f>Cálculos!F33</f>
        <v>-8.712689274829466E-2</v>
      </c>
      <c r="I48" s="78" t="s">
        <v>84</v>
      </c>
      <c r="J48" s="91">
        <v>8.7099999999999997E-2</v>
      </c>
      <c r="K48" s="91">
        <v>8.7099999999999997E-2</v>
      </c>
    </row>
    <row r="49" spans="1:11" ht="102" customHeight="1">
      <c r="A49" s="44" t="s">
        <v>242</v>
      </c>
      <c r="B49" s="45" t="s">
        <v>243</v>
      </c>
      <c r="C49" s="45" t="s">
        <v>14</v>
      </c>
      <c r="D49" s="45" t="s">
        <v>244</v>
      </c>
      <c r="E49" s="45" t="s">
        <v>245</v>
      </c>
      <c r="F49" s="45" t="s">
        <v>246</v>
      </c>
      <c r="G49" s="45" t="s">
        <v>247</v>
      </c>
      <c r="H49" s="53">
        <f>Cálculos!AO10</f>
        <v>46237</v>
      </c>
      <c r="I49" s="79" t="s">
        <v>248</v>
      </c>
      <c r="J49" s="83">
        <v>46237</v>
      </c>
      <c r="K49" s="83">
        <v>46237</v>
      </c>
    </row>
    <row r="50" spans="1:11" ht="102" customHeight="1">
      <c r="A50" s="41" t="s">
        <v>249</v>
      </c>
      <c r="B50" s="42" t="s">
        <v>243</v>
      </c>
      <c r="C50" s="42" t="s">
        <v>21</v>
      </c>
      <c r="D50" s="42" t="s">
        <v>250</v>
      </c>
      <c r="E50" s="42" t="s">
        <v>251</v>
      </c>
      <c r="F50" s="42" t="s">
        <v>252</v>
      </c>
      <c r="G50" s="42" t="s">
        <v>253</v>
      </c>
      <c r="H50" s="54">
        <f>Cálculos!AO17</f>
        <v>46237</v>
      </c>
      <c r="I50" s="78" t="s">
        <v>248</v>
      </c>
      <c r="J50" s="54">
        <v>46237</v>
      </c>
      <c r="K50" s="54">
        <v>46237</v>
      </c>
    </row>
    <row r="51" spans="1:11" ht="102" customHeight="1">
      <c r="A51" s="44" t="s">
        <v>254</v>
      </c>
      <c r="B51" s="45" t="s">
        <v>255</v>
      </c>
      <c r="C51" s="45" t="s">
        <v>14</v>
      </c>
      <c r="D51" s="45" t="s">
        <v>256</v>
      </c>
      <c r="E51" s="45" t="s">
        <v>257</v>
      </c>
      <c r="F51" s="45" t="s">
        <v>258</v>
      </c>
      <c r="G51" s="45" t="s">
        <v>259</v>
      </c>
      <c r="H51" s="55" t="str">
        <f>Cálculos!AP10</f>
        <v>11:00–12:00</v>
      </c>
      <c r="I51" s="79" t="s">
        <v>260</v>
      </c>
      <c r="J51" s="84" t="s">
        <v>841</v>
      </c>
      <c r="K51" s="84" t="s">
        <v>841</v>
      </c>
    </row>
    <row r="52" spans="1:11" ht="102" customHeight="1">
      <c r="A52" s="41" t="s">
        <v>261</v>
      </c>
      <c r="B52" s="42" t="s">
        <v>255</v>
      </c>
      <c r="C52" s="42" t="s">
        <v>21</v>
      </c>
      <c r="D52" s="42" t="s">
        <v>262</v>
      </c>
      <c r="E52" s="42" t="s">
        <v>263</v>
      </c>
      <c r="F52" s="42" t="s">
        <v>264</v>
      </c>
      <c r="G52" s="42" t="s">
        <v>265</v>
      </c>
      <c r="H52" s="56" t="str">
        <f>Cálculos!AP17</f>
        <v>11:00–12:00</v>
      </c>
      <c r="I52" s="78" t="s">
        <v>260</v>
      </c>
      <c r="J52" s="75" t="s">
        <v>841</v>
      </c>
      <c r="K52" s="75" t="s">
        <v>841</v>
      </c>
    </row>
    <row r="53" spans="1:11" ht="102" customHeight="1">
      <c r="A53" s="44" t="s">
        <v>266</v>
      </c>
      <c r="B53" s="45" t="s">
        <v>267</v>
      </c>
      <c r="C53" s="45" t="s">
        <v>14</v>
      </c>
      <c r="D53" s="45" t="s">
        <v>268</v>
      </c>
      <c r="E53" s="45" t="s">
        <v>269</v>
      </c>
      <c r="F53" s="45" t="s">
        <v>270</v>
      </c>
      <c r="G53" s="45" t="s">
        <v>271</v>
      </c>
      <c r="H53" s="46">
        <f>Cálculos!F12</f>
        <v>1094</v>
      </c>
      <c r="I53" s="79" t="s">
        <v>19</v>
      </c>
      <c r="J53" s="75">
        <v>1094</v>
      </c>
      <c r="K53" s="75">
        <v>1094</v>
      </c>
    </row>
    <row r="54" spans="1:11" ht="102" customHeight="1">
      <c r="A54" s="41" t="s">
        <v>272</v>
      </c>
      <c r="B54" s="42" t="s">
        <v>267</v>
      </c>
      <c r="C54" s="42" t="s">
        <v>21</v>
      </c>
      <c r="D54" s="42" t="s">
        <v>273</v>
      </c>
      <c r="E54" s="42" t="s">
        <v>274</v>
      </c>
      <c r="F54" s="42" t="s">
        <v>275</v>
      </c>
      <c r="G54" s="42" t="s">
        <v>276</v>
      </c>
      <c r="H54" s="43">
        <f>Cálculos!F19</f>
        <v>1111</v>
      </c>
      <c r="I54" s="78" t="s">
        <v>19</v>
      </c>
      <c r="J54" s="75">
        <v>1111</v>
      </c>
      <c r="K54" s="75">
        <v>1111</v>
      </c>
    </row>
    <row r="55" spans="1:11" ht="102" customHeight="1">
      <c r="A55" s="38" t="s">
        <v>277</v>
      </c>
      <c r="B55" s="39" t="s">
        <v>267</v>
      </c>
      <c r="C55" s="39" t="s">
        <v>14</v>
      </c>
      <c r="D55" s="39" t="s">
        <v>278</v>
      </c>
      <c r="E55" s="39" t="s">
        <v>279</v>
      </c>
      <c r="F55" s="39" t="s">
        <v>280</v>
      </c>
      <c r="G55" s="39" t="s">
        <v>281</v>
      </c>
      <c r="H55" s="40">
        <f>Cálculos!F13</f>
        <v>1645</v>
      </c>
      <c r="I55" s="77" t="s">
        <v>19</v>
      </c>
      <c r="J55" s="75">
        <v>1645</v>
      </c>
      <c r="K55" s="75">
        <v>1645</v>
      </c>
    </row>
    <row r="56" spans="1:11" ht="102" customHeight="1">
      <c r="A56" s="41" t="s">
        <v>282</v>
      </c>
      <c r="B56" s="42" t="s">
        <v>267</v>
      </c>
      <c r="C56" s="42" t="s">
        <v>21</v>
      </c>
      <c r="D56" s="42" t="s">
        <v>283</v>
      </c>
      <c r="E56" s="42" t="s">
        <v>284</v>
      </c>
      <c r="F56" s="42" t="s">
        <v>285</v>
      </c>
      <c r="G56" s="42" t="s">
        <v>286</v>
      </c>
      <c r="H56" s="43">
        <f>Cálculos!F20</f>
        <v>1657</v>
      </c>
      <c r="I56" s="78" t="s">
        <v>19</v>
      </c>
      <c r="J56" s="75">
        <v>1657</v>
      </c>
      <c r="K56" s="75">
        <v>1657</v>
      </c>
    </row>
    <row r="57" spans="1:11" ht="102" customHeight="1">
      <c r="A57" s="44" t="s">
        <v>287</v>
      </c>
      <c r="B57" s="45" t="s">
        <v>288</v>
      </c>
      <c r="C57" s="45" t="s">
        <v>14</v>
      </c>
      <c r="D57" s="45" t="s">
        <v>289</v>
      </c>
      <c r="E57" s="45" t="s">
        <v>290</v>
      </c>
      <c r="F57" s="45" t="s">
        <v>291</v>
      </c>
      <c r="G57" s="45" t="s">
        <v>292</v>
      </c>
      <c r="H57" s="46">
        <f>Cálculos!F14</f>
        <v>0</v>
      </c>
      <c r="I57" s="79" t="s">
        <v>19</v>
      </c>
      <c r="J57" s="75">
        <v>0</v>
      </c>
      <c r="K57" s="75">
        <v>0</v>
      </c>
    </row>
    <row r="58" spans="1:11" ht="102" customHeight="1">
      <c r="A58" s="41" t="s">
        <v>293</v>
      </c>
      <c r="B58" s="42" t="s">
        <v>288</v>
      </c>
      <c r="C58" s="42" t="s">
        <v>21</v>
      </c>
      <c r="D58" s="42" t="s">
        <v>294</v>
      </c>
      <c r="E58" s="42" t="s">
        <v>295</v>
      </c>
      <c r="F58" s="42" t="s">
        <v>296</v>
      </c>
      <c r="G58" s="42" t="s">
        <v>297</v>
      </c>
      <c r="H58" s="43">
        <f>Cálculos!F21</f>
        <v>0</v>
      </c>
      <c r="I58" s="78" t="s">
        <v>19</v>
      </c>
      <c r="J58" s="75">
        <v>0</v>
      </c>
      <c r="K58" s="75">
        <v>0</v>
      </c>
    </row>
    <row r="59" spans="1:11" ht="102" customHeight="1">
      <c r="A59" s="44" t="s">
        <v>298</v>
      </c>
      <c r="B59" s="45" t="s">
        <v>299</v>
      </c>
      <c r="C59" s="45" t="s">
        <v>14</v>
      </c>
      <c r="D59" s="45" t="s">
        <v>300</v>
      </c>
      <c r="E59" s="45" t="s">
        <v>301</v>
      </c>
      <c r="F59" s="45" t="s">
        <v>302</v>
      </c>
      <c r="G59" s="45" t="s">
        <v>303</v>
      </c>
      <c r="H59" s="46">
        <f>Cálculos!F8</f>
        <v>38540</v>
      </c>
      <c r="I59" s="79" t="s">
        <v>19</v>
      </c>
      <c r="J59" s="75">
        <v>38540</v>
      </c>
      <c r="K59" s="75">
        <v>38540</v>
      </c>
    </row>
    <row r="60" spans="1:11" ht="102" customHeight="1">
      <c r="A60" s="41" t="s">
        <v>304</v>
      </c>
      <c r="B60" s="42" t="s">
        <v>299</v>
      </c>
      <c r="C60" s="42" t="s">
        <v>21</v>
      </c>
      <c r="D60" s="42" t="s">
        <v>305</v>
      </c>
      <c r="E60" s="42" t="s">
        <v>306</v>
      </c>
      <c r="F60" s="42" t="s">
        <v>307</v>
      </c>
      <c r="G60" s="42" t="s">
        <v>308</v>
      </c>
      <c r="H60" s="43">
        <f>Cálculos!F15</f>
        <v>38858</v>
      </c>
      <c r="I60" s="78" t="s">
        <v>19</v>
      </c>
      <c r="J60" s="92">
        <v>38858</v>
      </c>
      <c r="K60" s="92">
        <v>38858</v>
      </c>
    </row>
    <row r="61" spans="1:11" ht="102" customHeight="1">
      <c r="A61" s="44" t="s">
        <v>309</v>
      </c>
      <c r="B61" s="45" t="s">
        <v>310</v>
      </c>
      <c r="C61" s="45" t="s">
        <v>14</v>
      </c>
      <c r="D61" s="45" t="s">
        <v>311</v>
      </c>
      <c r="E61" s="45" t="s">
        <v>312</v>
      </c>
      <c r="F61" s="45" t="s">
        <v>313</v>
      </c>
      <c r="G61" s="45" t="s">
        <v>314</v>
      </c>
      <c r="H61" s="57" t="s">
        <v>315</v>
      </c>
      <c r="I61" s="79" t="s">
        <v>316</v>
      </c>
      <c r="J61" s="85" t="s">
        <v>842</v>
      </c>
    </row>
    <row r="62" spans="1:11" ht="102" customHeight="1">
      <c r="A62" s="41" t="s">
        <v>317</v>
      </c>
      <c r="B62" s="42" t="s">
        <v>310</v>
      </c>
      <c r="C62" s="42" t="s">
        <v>21</v>
      </c>
      <c r="D62" s="42" t="s">
        <v>318</v>
      </c>
      <c r="E62" s="42" t="s">
        <v>319</v>
      </c>
      <c r="F62" s="42" t="s">
        <v>320</v>
      </c>
      <c r="G62" s="42" t="s">
        <v>321</v>
      </c>
      <c r="H62" s="58" t="s">
        <v>315</v>
      </c>
      <c r="I62" s="78" t="s">
        <v>316</v>
      </c>
      <c r="J62" s="87" t="s">
        <v>843</v>
      </c>
    </row>
    <row r="63" spans="1:11" ht="102" customHeight="1">
      <c r="A63" s="44" t="s">
        <v>322</v>
      </c>
      <c r="B63" s="45" t="s">
        <v>323</v>
      </c>
      <c r="C63" s="45" t="s">
        <v>14</v>
      </c>
      <c r="D63" s="45" t="s">
        <v>324</v>
      </c>
      <c r="E63" s="45" t="s">
        <v>325</v>
      </c>
      <c r="F63" s="45" t="s">
        <v>326</v>
      </c>
      <c r="G63" s="45" t="s">
        <v>327</v>
      </c>
      <c r="H63" s="46">
        <f>Cálculos!F22</f>
        <v>232</v>
      </c>
      <c r="I63" s="79" t="s">
        <v>19</v>
      </c>
      <c r="J63" s="75">
        <v>232</v>
      </c>
      <c r="K63" s="75">
        <v>232</v>
      </c>
    </row>
    <row r="64" spans="1:11" ht="114" customHeight="1">
      <c r="A64" s="41" t="s">
        <v>328</v>
      </c>
      <c r="B64" s="42" t="s">
        <v>323</v>
      </c>
      <c r="C64" s="42" t="s">
        <v>21</v>
      </c>
      <c r="D64" s="42" t="s">
        <v>329</v>
      </c>
      <c r="E64" s="42" t="s">
        <v>330</v>
      </c>
      <c r="F64" s="42" t="s">
        <v>331</v>
      </c>
      <c r="G64" s="42" t="s">
        <v>332</v>
      </c>
      <c r="H64" s="43">
        <f>Cálculos!F23</f>
        <v>38013</v>
      </c>
      <c r="I64" s="78" t="s">
        <v>19</v>
      </c>
      <c r="J64" s="75">
        <v>38013</v>
      </c>
      <c r="K64" s="75">
        <v>38013</v>
      </c>
    </row>
    <row r="65" spans="1:11" ht="102" customHeight="1">
      <c r="A65" s="38" t="s">
        <v>333</v>
      </c>
      <c r="B65" s="39" t="s">
        <v>323</v>
      </c>
      <c r="C65" s="39" t="s">
        <v>14</v>
      </c>
      <c r="D65" s="39" t="s">
        <v>334</v>
      </c>
      <c r="E65" s="39" t="s">
        <v>335</v>
      </c>
      <c r="F65" s="39" t="s">
        <v>336</v>
      </c>
      <c r="G65" s="39" t="s">
        <v>337</v>
      </c>
      <c r="H65" s="40">
        <f>Cálculos!F25</f>
        <v>564</v>
      </c>
      <c r="I65" s="77" t="s">
        <v>19</v>
      </c>
      <c r="J65" s="75">
        <v>564</v>
      </c>
      <c r="K65" s="75">
        <v>564</v>
      </c>
    </row>
    <row r="66" spans="1:11" ht="222" customHeight="1">
      <c r="A66" s="41" t="s">
        <v>338</v>
      </c>
      <c r="B66" s="42" t="s">
        <v>323</v>
      </c>
      <c r="C66" s="42" t="s">
        <v>21</v>
      </c>
      <c r="D66" s="42" t="s">
        <v>339</v>
      </c>
      <c r="E66" s="42" t="s">
        <v>340</v>
      </c>
      <c r="F66" s="42" t="s">
        <v>341</v>
      </c>
      <c r="G66" s="42" t="s">
        <v>342</v>
      </c>
      <c r="H66" s="49">
        <f>Cálculos!O23</f>
        <v>0.84702549575070818</v>
      </c>
      <c r="I66" s="78" t="s">
        <v>84</v>
      </c>
      <c r="J66" s="80">
        <v>0.84699999999999998</v>
      </c>
      <c r="K66" s="80">
        <v>0.84699999999999998</v>
      </c>
    </row>
    <row r="67" spans="1:11" ht="90" customHeight="1">
      <c r="A67" s="44" t="s">
        <v>343</v>
      </c>
      <c r="B67" s="45" t="s">
        <v>344</v>
      </c>
      <c r="C67" s="45" t="s">
        <v>345</v>
      </c>
      <c r="D67" s="45" t="s">
        <v>346</v>
      </c>
      <c r="E67" s="45" t="s">
        <v>347</v>
      </c>
      <c r="F67" s="45" t="s">
        <v>348</v>
      </c>
      <c r="G67" s="45" t="s">
        <v>349</v>
      </c>
      <c r="H67" s="46">
        <f>Cálculos!F24</f>
        <v>126</v>
      </c>
      <c r="I67" s="79" t="s">
        <v>19</v>
      </c>
      <c r="J67" s="75" t="s">
        <v>844</v>
      </c>
      <c r="K67" s="75">
        <v>126</v>
      </c>
    </row>
    <row r="68" spans="1:11" ht="90" customHeight="1">
      <c r="A68" s="41" t="s">
        <v>350</v>
      </c>
      <c r="B68" s="42" t="s">
        <v>344</v>
      </c>
      <c r="C68" s="42" t="s">
        <v>345</v>
      </c>
      <c r="D68" s="42" t="s">
        <v>351</v>
      </c>
      <c r="E68" s="42" t="s">
        <v>352</v>
      </c>
      <c r="F68" s="42" t="s">
        <v>353</v>
      </c>
      <c r="G68" s="42" t="s">
        <v>354</v>
      </c>
      <c r="H68" s="43">
        <f>Cálculos!G24</f>
        <v>99</v>
      </c>
      <c r="I68" s="78" t="s">
        <v>19</v>
      </c>
      <c r="J68" s="75">
        <v>99</v>
      </c>
      <c r="K68" s="75">
        <v>99</v>
      </c>
    </row>
    <row r="69" spans="1:11" ht="42" customHeight="1">
      <c r="A69" s="44" t="s">
        <v>355</v>
      </c>
      <c r="B69" s="45" t="s">
        <v>187</v>
      </c>
      <c r="C69" s="45" t="s">
        <v>356</v>
      </c>
      <c r="D69" s="45" t="s">
        <v>357</v>
      </c>
      <c r="E69" s="45" t="s">
        <v>358</v>
      </c>
      <c r="F69" s="45" t="s">
        <v>359</v>
      </c>
      <c r="G69" s="45" t="s">
        <v>360</v>
      </c>
      <c r="H69" s="46">
        <f>'Regras e fonte'!C34</f>
        <v>37722</v>
      </c>
      <c r="I69" s="79" t="s">
        <v>361</v>
      </c>
      <c r="J69" s="75" t="s">
        <v>845</v>
      </c>
      <c r="K69" s="75">
        <v>37722</v>
      </c>
    </row>
    <row r="70" spans="1:11" ht="42" customHeight="1">
      <c r="A70" s="41" t="s">
        <v>362</v>
      </c>
      <c r="B70" s="42" t="s">
        <v>187</v>
      </c>
      <c r="C70" s="42" t="s">
        <v>356</v>
      </c>
      <c r="D70" s="42" t="s">
        <v>363</v>
      </c>
      <c r="E70" s="42" t="s">
        <v>364</v>
      </c>
      <c r="F70" s="42" t="s">
        <v>365</v>
      </c>
      <c r="G70" s="42" t="s">
        <v>366</v>
      </c>
      <c r="H70" s="43">
        <f>'Regras e fonte'!C35</f>
        <v>1</v>
      </c>
      <c r="I70" s="78" t="s">
        <v>367</v>
      </c>
      <c r="J70" s="75">
        <v>1</v>
      </c>
      <c r="K70" s="75">
        <v>1</v>
      </c>
    </row>
    <row r="71" spans="1:11" ht="114" customHeight="1">
      <c r="A71" s="44" t="s">
        <v>368</v>
      </c>
      <c r="B71" s="45" t="s">
        <v>369</v>
      </c>
      <c r="C71" s="45" t="s">
        <v>14</v>
      </c>
      <c r="D71" s="45" t="s">
        <v>370</v>
      </c>
      <c r="E71" s="45" t="s">
        <v>371</v>
      </c>
      <c r="F71" s="45" t="s">
        <v>372</v>
      </c>
      <c r="G71" s="45" t="s">
        <v>373</v>
      </c>
      <c r="H71" s="57" t="s">
        <v>374</v>
      </c>
      <c r="I71" s="79" t="s">
        <v>316</v>
      </c>
      <c r="J71" s="86" t="s">
        <v>846</v>
      </c>
    </row>
    <row r="72" spans="1:11" ht="114" customHeight="1">
      <c r="A72" s="41" t="s">
        <v>375</v>
      </c>
      <c r="B72" s="42" t="s">
        <v>369</v>
      </c>
      <c r="C72" s="42" t="s">
        <v>21</v>
      </c>
      <c r="D72" s="42" t="s">
        <v>376</v>
      </c>
      <c r="E72" s="42" t="s">
        <v>377</v>
      </c>
      <c r="F72" s="42" t="s">
        <v>378</v>
      </c>
      <c r="G72" s="42" t="s">
        <v>379</v>
      </c>
      <c r="H72" s="58" t="s">
        <v>374</v>
      </c>
      <c r="I72" s="78" t="s">
        <v>316</v>
      </c>
      <c r="J72" s="86" t="s">
        <v>847</v>
      </c>
    </row>
  </sheetData>
  <mergeCells count="1">
    <mergeCell ref="J5:K5"/>
  </mergeCells>
  <phoneticPr fontId="1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898"/>
  </sheetPr>
  <dimension ref="A1:AP33"/>
  <sheetViews>
    <sheetView showGridLines="0" workbookViewId="0">
      <pane xSplit="2" ySplit="7" topLeftCell="C8" activePane="bottomRight" state="frozen"/>
      <selection pane="topRight"/>
      <selection pane="bottomLeft"/>
      <selection pane="bottomRight" activeCell="C8" sqref="C8"/>
    </sheetView>
  </sheetViews>
  <sheetFormatPr defaultRowHeight="14.25"/>
  <cols>
    <col min="1" max="1" width="28" customWidth="1"/>
    <col min="2" max="2" width="78" customWidth="1"/>
    <col min="3" max="4" width="17" customWidth="1"/>
    <col min="5" max="5" width="33" customWidth="1"/>
    <col min="6" max="42" width="19" customWidth="1"/>
  </cols>
  <sheetData>
    <row r="1" spans="1:4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ht="27" customHeight="1">
      <c r="A2" s="2" t="s">
        <v>380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2" ht="23.1" customHeight="1">
      <c r="A3" s="1" t="s">
        <v>381</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spans="1:4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row>
    <row r="5" spans="1:4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row>
    <row r="6" spans="1:4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row>
    <row r="7" spans="1:42" ht="66.95" customHeight="1">
      <c r="A7" s="6" t="s">
        <v>382</v>
      </c>
      <c r="B7" s="7" t="s">
        <v>383</v>
      </c>
      <c r="C7" s="7" t="s">
        <v>384</v>
      </c>
      <c r="D7" s="7" t="s">
        <v>385</v>
      </c>
      <c r="E7" s="7" t="s">
        <v>386</v>
      </c>
      <c r="F7" s="7" t="s">
        <v>387</v>
      </c>
      <c r="G7" s="7" t="s">
        <v>388</v>
      </c>
      <c r="H7" s="7" t="s">
        <v>389</v>
      </c>
      <c r="I7" s="7" t="s">
        <v>390</v>
      </c>
      <c r="J7" s="7" t="s">
        <v>391</v>
      </c>
      <c r="K7" s="7" t="s">
        <v>392</v>
      </c>
      <c r="L7" s="7" t="s">
        <v>393</v>
      </c>
      <c r="M7" s="7" t="s">
        <v>394</v>
      </c>
      <c r="N7" s="7" t="s">
        <v>395</v>
      </c>
      <c r="O7" s="7" t="s">
        <v>396</v>
      </c>
      <c r="P7" s="7" t="s">
        <v>397</v>
      </c>
      <c r="Q7" s="7" t="s">
        <v>398</v>
      </c>
      <c r="R7" s="7" t="s">
        <v>399</v>
      </c>
      <c r="S7" s="7" t="s">
        <v>400</v>
      </c>
      <c r="T7" s="7" t="s">
        <v>401</v>
      </c>
      <c r="U7" s="7" t="s">
        <v>402</v>
      </c>
      <c r="V7" s="7" t="s">
        <v>403</v>
      </c>
      <c r="W7" s="7" t="s">
        <v>404</v>
      </c>
      <c r="X7" s="7" t="s">
        <v>405</v>
      </c>
      <c r="Y7" s="7" t="s">
        <v>406</v>
      </c>
      <c r="Z7" s="7" t="s">
        <v>407</v>
      </c>
      <c r="AA7" s="7" t="s">
        <v>408</v>
      </c>
      <c r="AB7" s="7" t="s">
        <v>409</v>
      </c>
      <c r="AC7" s="7" t="s">
        <v>410</v>
      </c>
      <c r="AD7" s="7" t="s">
        <v>411</v>
      </c>
      <c r="AE7" s="7" t="s">
        <v>412</v>
      </c>
      <c r="AF7" s="7" t="s">
        <v>413</v>
      </c>
      <c r="AG7" s="7" t="s">
        <v>414</v>
      </c>
      <c r="AH7" s="7" t="s">
        <v>415</v>
      </c>
      <c r="AI7" s="7" t="s">
        <v>416</v>
      </c>
      <c r="AJ7" s="7" t="s">
        <v>417</v>
      </c>
      <c r="AK7" s="7" t="s">
        <v>418</v>
      </c>
      <c r="AL7" s="7" t="s">
        <v>419</v>
      </c>
      <c r="AM7" s="7" t="s">
        <v>420</v>
      </c>
      <c r="AN7" s="7" t="s">
        <v>421</v>
      </c>
      <c r="AO7" s="7" t="s">
        <v>422</v>
      </c>
      <c r="AP7" s="8" t="s">
        <v>423</v>
      </c>
    </row>
    <row r="8" spans="1:42" ht="33.950000000000003" customHeight="1">
      <c r="A8" s="19" t="s">
        <v>424</v>
      </c>
      <c r="B8" s="20" t="s">
        <v>425</v>
      </c>
      <c r="C8" s="21">
        <v>45505</v>
      </c>
      <c r="D8" s="21">
        <v>45535</v>
      </c>
      <c r="E8" s="20" t="s">
        <v>426</v>
      </c>
      <c r="F8" s="22">
        <v>38540</v>
      </c>
      <c r="G8" s="22">
        <v>37441</v>
      </c>
      <c r="H8" s="22">
        <v>1099</v>
      </c>
      <c r="I8" s="22">
        <v>384</v>
      </c>
      <c r="J8" s="22">
        <f t="shared" ref="J8:J25" si="0">F8-I8</f>
        <v>38156</v>
      </c>
      <c r="K8" s="22">
        <f t="shared" ref="K8:K25" si="1">H8-I8</f>
        <v>715</v>
      </c>
      <c r="L8" s="22">
        <v>39475</v>
      </c>
      <c r="M8" s="22">
        <v>700</v>
      </c>
      <c r="N8" s="22">
        <v>31637</v>
      </c>
      <c r="O8" s="23">
        <f t="shared" ref="O8:O25" si="2">IF(G8=0,"n.a.",N8/G8)</f>
        <v>0.84498277289602308</v>
      </c>
      <c r="P8" s="24">
        <v>542297.17200000002</v>
      </c>
      <c r="Q8" s="24">
        <f t="shared" ref="Q8:Q25" si="3">IF(G8=0,"n.a.",P8/G8)</f>
        <v>14.484046152613447</v>
      </c>
      <c r="R8" s="22">
        <v>37441</v>
      </c>
      <c r="S8" s="24">
        <v>14130830</v>
      </c>
      <c r="T8" s="24">
        <f t="shared" ref="T8:T25" si="4">IF(R8=0,"n.a.",S8/R8)</f>
        <v>377.41593440346145</v>
      </c>
      <c r="U8" s="22">
        <v>30781</v>
      </c>
      <c r="V8" s="24">
        <v>1027196</v>
      </c>
      <c r="W8" s="24">
        <f t="shared" ref="W8:W25" si="5">IF(U8=0,"n.a.",V8/U8)</f>
        <v>33.371105552126309</v>
      </c>
      <c r="X8" s="22">
        <v>37441</v>
      </c>
      <c r="Y8" s="24">
        <v>86792</v>
      </c>
      <c r="Z8" s="24">
        <f t="shared" ref="Z8:Z25" si="6">IF(X8=0,"n.a.",Y8/X8)</f>
        <v>2.3181004780855212</v>
      </c>
      <c r="AA8" s="22">
        <v>30781</v>
      </c>
      <c r="AB8" s="24">
        <v>11904900</v>
      </c>
      <c r="AC8" s="24">
        <v>1027196</v>
      </c>
      <c r="AD8" s="24">
        <v>66869</v>
      </c>
      <c r="AE8" s="24">
        <f t="shared" ref="AE8:AE25" si="7">SUM(AB8:AD8)</f>
        <v>12998965</v>
      </c>
      <c r="AF8" s="24">
        <f t="shared" ref="AF8:AF25" si="8">IF(AA8=0,"n.a.",AE8/AA8)</f>
        <v>422.3048309021799</v>
      </c>
      <c r="AG8" s="24">
        <f t="shared" ref="AG8:AG25" si="9">AE8/3600</f>
        <v>3610.8236111111109</v>
      </c>
      <c r="AH8" s="23">
        <f t="shared" ref="AH8:AH25" si="10">IF(J8=0,"n.a.",G8/J8)</f>
        <v>0.98126113848411778</v>
      </c>
      <c r="AI8" s="23">
        <f t="shared" ref="AI8:AI25" si="11">IF(F8=0,"n.a.",H8/F8)</f>
        <v>2.8515827711468603E-2</v>
      </c>
      <c r="AJ8" s="23">
        <f t="shared" ref="AJ8:AJ25" si="12">IF(J8=0,"n.a.",K8/J8)</f>
        <v>1.8738861515882169E-2</v>
      </c>
      <c r="AK8" s="22">
        <v>53</v>
      </c>
      <c r="AL8" s="22">
        <v>6660</v>
      </c>
      <c r="AM8" s="22">
        <v>0</v>
      </c>
      <c r="AN8" s="22">
        <v>0</v>
      </c>
      <c r="AO8" s="25">
        <v>45509</v>
      </c>
      <c r="AP8" s="26" t="s">
        <v>427</v>
      </c>
    </row>
    <row r="9" spans="1:42" ht="33.950000000000003" customHeight="1">
      <c r="A9" s="27" t="s">
        <v>428</v>
      </c>
      <c r="B9" s="28" t="s">
        <v>425</v>
      </c>
      <c r="C9" s="29">
        <v>45870</v>
      </c>
      <c r="D9" s="29">
        <v>45900</v>
      </c>
      <c r="E9" s="28" t="s">
        <v>426</v>
      </c>
      <c r="F9" s="30">
        <v>41023</v>
      </c>
      <c r="G9" s="30">
        <v>39812</v>
      </c>
      <c r="H9" s="30">
        <v>1211</v>
      </c>
      <c r="I9" s="30">
        <v>596</v>
      </c>
      <c r="J9" s="30">
        <f t="shared" si="0"/>
        <v>40427</v>
      </c>
      <c r="K9" s="30">
        <f t="shared" si="1"/>
        <v>615</v>
      </c>
      <c r="L9" s="30">
        <v>41715</v>
      </c>
      <c r="M9" s="30">
        <v>554</v>
      </c>
      <c r="N9" s="30">
        <v>35296</v>
      </c>
      <c r="O9" s="31">
        <f t="shared" si="2"/>
        <v>0.88656686426203157</v>
      </c>
      <c r="P9" s="32">
        <v>442401.34499999997</v>
      </c>
      <c r="Q9" s="32">
        <f t="shared" si="3"/>
        <v>11.112261252888576</v>
      </c>
      <c r="R9" s="30">
        <v>39812</v>
      </c>
      <c r="S9" s="32">
        <v>13972031</v>
      </c>
      <c r="T9" s="32">
        <f t="shared" si="4"/>
        <v>350.95024113332664</v>
      </c>
      <c r="U9" s="30">
        <v>33617</v>
      </c>
      <c r="V9" s="32">
        <v>744875</v>
      </c>
      <c r="W9" s="32">
        <f t="shared" si="5"/>
        <v>22.157688074486124</v>
      </c>
      <c r="X9" s="30">
        <v>39812</v>
      </c>
      <c r="Y9" s="32">
        <v>100414</v>
      </c>
      <c r="Z9" s="32">
        <f t="shared" si="6"/>
        <v>2.5222043604943232</v>
      </c>
      <c r="AA9" s="30">
        <v>33617</v>
      </c>
      <c r="AB9" s="32">
        <v>11959937</v>
      </c>
      <c r="AC9" s="32">
        <v>744875</v>
      </c>
      <c r="AD9" s="32">
        <v>81451</v>
      </c>
      <c r="AE9" s="32">
        <f t="shared" si="7"/>
        <v>12786263</v>
      </c>
      <c r="AF9" s="32">
        <f t="shared" si="8"/>
        <v>380.35110212095071</v>
      </c>
      <c r="AG9" s="32">
        <f t="shared" si="9"/>
        <v>3551.7397222222221</v>
      </c>
      <c r="AH9" s="31">
        <f t="shared" si="10"/>
        <v>0.98478739456303954</v>
      </c>
      <c r="AI9" s="31">
        <f t="shared" si="11"/>
        <v>2.952002535163201E-2</v>
      </c>
      <c r="AJ9" s="31">
        <f t="shared" si="12"/>
        <v>1.5212605436960448E-2</v>
      </c>
      <c r="AK9" s="30">
        <v>55</v>
      </c>
      <c r="AL9" s="30">
        <v>6195</v>
      </c>
      <c r="AM9" s="30">
        <v>0</v>
      </c>
      <c r="AN9" s="30">
        <v>0</v>
      </c>
      <c r="AO9" s="33">
        <v>45873</v>
      </c>
      <c r="AP9" s="34" t="s">
        <v>427</v>
      </c>
    </row>
    <row r="10" spans="1:42" ht="33.950000000000003" customHeight="1">
      <c r="A10" s="19" t="s">
        <v>429</v>
      </c>
      <c r="B10" s="20" t="s">
        <v>425</v>
      </c>
      <c r="C10" s="21">
        <v>46235</v>
      </c>
      <c r="D10" s="21">
        <v>46265</v>
      </c>
      <c r="E10" s="20" t="s">
        <v>426</v>
      </c>
      <c r="F10" s="22">
        <v>37402</v>
      </c>
      <c r="G10" s="22">
        <v>35913</v>
      </c>
      <c r="H10" s="22">
        <v>1489</v>
      </c>
      <c r="I10" s="22">
        <v>374</v>
      </c>
      <c r="J10" s="22">
        <f t="shared" si="0"/>
        <v>37028</v>
      </c>
      <c r="K10" s="22">
        <f t="shared" si="1"/>
        <v>1115</v>
      </c>
      <c r="L10" s="22">
        <v>37969</v>
      </c>
      <c r="M10" s="22">
        <v>419</v>
      </c>
      <c r="N10" s="22">
        <v>30484</v>
      </c>
      <c r="O10" s="23">
        <f t="shared" si="2"/>
        <v>0.84882911480522372</v>
      </c>
      <c r="P10" s="24">
        <v>595693.71699999995</v>
      </c>
      <c r="Q10" s="24">
        <f t="shared" si="3"/>
        <v>16.587133266505163</v>
      </c>
      <c r="R10" s="22">
        <v>35913</v>
      </c>
      <c r="S10" s="24">
        <v>13085062</v>
      </c>
      <c r="T10" s="24">
        <f t="shared" si="4"/>
        <v>364.35446774148636</v>
      </c>
      <c r="U10" s="22">
        <v>31118</v>
      </c>
      <c r="V10" s="24">
        <v>423426</v>
      </c>
      <c r="W10" s="24">
        <f t="shared" si="5"/>
        <v>13.607108425991388</v>
      </c>
      <c r="X10" s="22">
        <v>35912</v>
      </c>
      <c r="Y10" s="24">
        <v>88810</v>
      </c>
      <c r="Z10" s="24">
        <f t="shared" si="6"/>
        <v>2.4729895299621298</v>
      </c>
      <c r="AA10" s="22">
        <v>31118</v>
      </c>
      <c r="AB10" s="24">
        <v>11491803</v>
      </c>
      <c r="AC10" s="24">
        <v>423426</v>
      </c>
      <c r="AD10" s="24">
        <v>74614</v>
      </c>
      <c r="AE10" s="24">
        <f t="shared" si="7"/>
        <v>11989843</v>
      </c>
      <c r="AF10" s="24">
        <f t="shared" si="8"/>
        <v>385.30249373353041</v>
      </c>
      <c r="AG10" s="24">
        <f t="shared" si="9"/>
        <v>3330.5119444444445</v>
      </c>
      <c r="AH10" s="23">
        <f t="shared" si="10"/>
        <v>0.96988765258723131</v>
      </c>
      <c r="AI10" s="23">
        <f t="shared" si="11"/>
        <v>3.981070530987648E-2</v>
      </c>
      <c r="AJ10" s="23">
        <f t="shared" si="12"/>
        <v>3.0112347412768716E-2</v>
      </c>
      <c r="AK10" s="22">
        <v>51</v>
      </c>
      <c r="AL10" s="22">
        <v>4795</v>
      </c>
      <c r="AM10" s="22">
        <v>1</v>
      </c>
      <c r="AN10" s="22">
        <v>0</v>
      </c>
      <c r="AO10" s="25">
        <v>46237</v>
      </c>
      <c r="AP10" s="26" t="s">
        <v>427</v>
      </c>
    </row>
    <row r="11" spans="1:42" ht="33.950000000000003" customHeight="1">
      <c r="A11" s="27" t="s">
        <v>430</v>
      </c>
      <c r="B11" s="28" t="s">
        <v>425</v>
      </c>
      <c r="C11" s="29">
        <v>46204</v>
      </c>
      <c r="D11" s="29">
        <v>46234</v>
      </c>
      <c r="E11" s="28" t="s">
        <v>426</v>
      </c>
      <c r="F11" s="30">
        <v>39539</v>
      </c>
      <c r="G11" s="30">
        <v>38840</v>
      </c>
      <c r="H11" s="30">
        <v>699</v>
      </c>
      <c r="I11" s="30">
        <v>322</v>
      </c>
      <c r="J11" s="30">
        <f t="shared" si="0"/>
        <v>39217</v>
      </c>
      <c r="K11" s="30">
        <f t="shared" si="1"/>
        <v>377</v>
      </c>
      <c r="L11" s="30">
        <v>40235</v>
      </c>
      <c r="M11" s="30">
        <v>580</v>
      </c>
      <c r="N11" s="30">
        <v>35623</v>
      </c>
      <c r="O11" s="31">
        <f t="shared" si="2"/>
        <v>0.91717301750772395</v>
      </c>
      <c r="P11" s="32">
        <v>340924.75400000002</v>
      </c>
      <c r="Q11" s="32">
        <f t="shared" si="3"/>
        <v>8.7776713182286308</v>
      </c>
      <c r="R11" s="30">
        <v>38840</v>
      </c>
      <c r="S11" s="32">
        <v>13835221</v>
      </c>
      <c r="T11" s="32">
        <f t="shared" si="4"/>
        <v>356.21063336766218</v>
      </c>
      <c r="U11" s="30">
        <v>33357</v>
      </c>
      <c r="V11" s="32">
        <v>485674</v>
      </c>
      <c r="W11" s="32">
        <f t="shared" si="5"/>
        <v>14.559882483436759</v>
      </c>
      <c r="X11" s="30">
        <v>38840</v>
      </c>
      <c r="Y11" s="32">
        <v>96326</v>
      </c>
      <c r="Z11" s="32">
        <f t="shared" si="6"/>
        <v>2.4800720906282185</v>
      </c>
      <c r="AA11" s="30">
        <v>33357</v>
      </c>
      <c r="AB11" s="32">
        <v>12123907</v>
      </c>
      <c r="AC11" s="32">
        <v>485674</v>
      </c>
      <c r="AD11" s="32">
        <v>79887</v>
      </c>
      <c r="AE11" s="32">
        <f t="shared" si="7"/>
        <v>12689468</v>
      </c>
      <c r="AF11" s="32">
        <f t="shared" si="8"/>
        <v>380.41394609827023</v>
      </c>
      <c r="AG11" s="32">
        <f t="shared" si="9"/>
        <v>3524.8522222222223</v>
      </c>
      <c r="AH11" s="31">
        <f t="shared" si="10"/>
        <v>0.99038682204146156</v>
      </c>
      <c r="AI11" s="31">
        <f t="shared" si="11"/>
        <v>1.7678747565694632E-2</v>
      </c>
      <c r="AJ11" s="31">
        <f t="shared" si="12"/>
        <v>9.6131779585383898E-3</v>
      </c>
      <c r="AK11" s="30">
        <v>53</v>
      </c>
      <c r="AL11" s="30">
        <v>5483</v>
      </c>
      <c r="AM11" s="30">
        <v>0</v>
      </c>
      <c r="AN11" s="30">
        <v>0</v>
      </c>
      <c r="AO11" s="33">
        <v>46230</v>
      </c>
      <c r="AP11" s="34" t="s">
        <v>427</v>
      </c>
    </row>
    <row r="12" spans="1:42" ht="33.950000000000003" customHeight="1">
      <c r="A12" s="19" t="s">
        <v>431</v>
      </c>
      <c r="B12" s="20" t="s">
        <v>425</v>
      </c>
      <c r="C12" s="21">
        <v>46235</v>
      </c>
      <c r="D12" s="21">
        <v>46265</v>
      </c>
      <c r="E12" s="20" t="s">
        <v>432</v>
      </c>
      <c r="F12" s="22">
        <v>1094</v>
      </c>
      <c r="G12" s="22">
        <v>1076</v>
      </c>
      <c r="H12" s="22">
        <v>18</v>
      </c>
      <c r="I12" s="22">
        <v>12</v>
      </c>
      <c r="J12" s="22">
        <f t="shared" si="0"/>
        <v>1082</v>
      </c>
      <c r="K12" s="22">
        <f t="shared" si="1"/>
        <v>6</v>
      </c>
      <c r="L12" s="22">
        <v>1125</v>
      </c>
      <c r="M12" s="22">
        <v>13</v>
      </c>
      <c r="N12" s="22">
        <v>1052</v>
      </c>
      <c r="O12" s="23">
        <f t="shared" si="2"/>
        <v>0.97769516728624539</v>
      </c>
      <c r="P12" s="24">
        <v>5125.7860000000001</v>
      </c>
      <c r="Q12" s="24">
        <f t="shared" si="3"/>
        <v>4.7637416356877322</v>
      </c>
      <c r="R12" s="22">
        <v>1076</v>
      </c>
      <c r="S12" s="24">
        <v>323439</v>
      </c>
      <c r="T12" s="24">
        <f t="shared" si="4"/>
        <v>300.5938661710037</v>
      </c>
      <c r="U12" s="22">
        <v>948</v>
      </c>
      <c r="V12" s="24">
        <v>8905</v>
      </c>
      <c r="W12" s="24">
        <f t="shared" si="5"/>
        <v>9.3934599156118139</v>
      </c>
      <c r="X12" s="22">
        <v>1076</v>
      </c>
      <c r="Y12" s="24">
        <v>2731</v>
      </c>
      <c r="Z12" s="24">
        <f t="shared" si="6"/>
        <v>2.5381040892193307</v>
      </c>
      <c r="AA12" s="22">
        <v>948</v>
      </c>
      <c r="AB12" s="24">
        <v>278022</v>
      </c>
      <c r="AC12" s="24">
        <v>8905</v>
      </c>
      <c r="AD12" s="24">
        <v>2344</v>
      </c>
      <c r="AE12" s="24">
        <f t="shared" si="7"/>
        <v>289271</v>
      </c>
      <c r="AF12" s="24">
        <f t="shared" si="8"/>
        <v>305.13818565400845</v>
      </c>
      <c r="AG12" s="24">
        <f t="shared" si="9"/>
        <v>80.353055555555557</v>
      </c>
      <c r="AH12" s="23">
        <f t="shared" si="10"/>
        <v>0.99445471349353054</v>
      </c>
      <c r="AI12" s="23">
        <f t="shared" si="11"/>
        <v>1.6453382084095063E-2</v>
      </c>
      <c r="AJ12" s="23">
        <f t="shared" si="12"/>
        <v>5.5452865064695009E-3</v>
      </c>
      <c r="AK12" s="22">
        <v>38</v>
      </c>
      <c r="AL12" s="22">
        <v>128</v>
      </c>
      <c r="AM12" s="22">
        <v>0</v>
      </c>
      <c r="AN12" s="22">
        <v>0</v>
      </c>
      <c r="AO12" s="25">
        <v>46237</v>
      </c>
      <c r="AP12" s="26" t="s">
        <v>433</v>
      </c>
    </row>
    <row r="13" spans="1:42" ht="33.950000000000003" customHeight="1">
      <c r="A13" s="27" t="s">
        <v>434</v>
      </c>
      <c r="B13" s="28" t="s">
        <v>425</v>
      </c>
      <c r="C13" s="29">
        <v>46235</v>
      </c>
      <c r="D13" s="29">
        <v>46265</v>
      </c>
      <c r="E13" s="28" t="s">
        <v>435</v>
      </c>
      <c r="F13" s="30">
        <v>1645</v>
      </c>
      <c r="G13" s="30">
        <v>1525</v>
      </c>
      <c r="H13" s="30">
        <v>120</v>
      </c>
      <c r="I13" s="30">
        <v>19</v>
      </c>
      <c r="J13" s="30">
        <f t="shared" si="0"/>
        <v>1626</v>
      </c>
      <c r="K13" s="30">
        <f t="shared" si="1"/>
        <v>101</v>
      </c>
      <c r="L13" s="30">
        <v>1660</v>
      </c>
      <c r="M13" s="30">
        <v>12</v>
      </c>
      <c r="N13" s="30">
        <v>1242</v>
      </c>
      <c r="O13" s="31">
        <f t="shared" si="2"/>
        <v>0.81442622950819676</v>
      </c>
      <c r="P13" s="32">
        <v>34999.481</v>
      </c>
      <c r="Q13" s="32">
        <f t="shared" si="3"/>
        <v>22.950479344262295</v>
      </c>
      <c r="R13" s="30">
        <v>1525</v>
      </c>
      <c r="S13" s="32">
        <v>554900</v>
      </c>
      <c r="T13" s="32">
        <f t="shared" si="4"/>
        <v>363.86885245901641</v>
      </c>
      <c r="U13" s="30">
        <v>1351</v>
      </c>
      <c r="V13" s="32">
        <v>14708</v>
      </c>
      <c r="W13" s="32">
        <f t="shared" si="5"/>
        <v>10.886750555144337</v>
      </c>
      <c r="X13" s="30">
        <v>1525</v>
      </c>
      <c r="Y13" s="32">
        <v>3675</v>
      </c>
      <c r="Z13" s="32">
        <f t="shared" si="6"/>
        <v>2.4098360655737703</v>
      </c>
      <c r="AA13" s="30">
        <v>1351</v>
      </c>
      <c r="AB13" s="32">
        <v>503399</v>
      </c>
      <c r="AC13" s="32">
        <v>14708</v>
      </c>
      <c r="AD13" s="32">
        <v>3177</v>
      </c>
      <c r="AE13" s="32">
        <f t="shared" si="7"/>
        <v>521284</v>
      </c>
      <c r="AF13" s="32">
        <f t="shared" si="8"/>
        <v>385.85048112509253</v>
      </c>
      <c r="AG13" s="32">
        <f t="shared" si="9"/>
        <v>144.80111111111111</v>
      </c>
      <c r="AH13" s="31">
        <f t="shared" si="10"/>
        <v>0.93788437884378839</v>
      </c>
      <c r="AI13" s="31">
        <f t="shared" si="11"/>
        <v>7.29483282674772E-2</v>
      </c>
      <c r="AJ13" s="31">
        <f t="shared" si="12"/>
        <v>6.211562115621156E-2</v>
      </c>
      <c r="AK13" s="30">
        <v>35</v>
      </c>
      <c r="AL13" s="30">
        <v>174</v>
      </c>
      <c r="AM13" s="30">
        <v>0</v>
      </c>
      <c r="AN13" s="30">
        <v>0</v>
      </c>
      <c r="AO13" s="33">
        <v>46237</v>
      </c>
      <c r="AP13" s="34" t="s">
        <v>436</v>
      </c>
    </row>
    <row r="14" spans="1:42" ht="33.950000000000003" customHeight="1">
      <c r="A14" s="19" t="s">
        <v>437</v>
      </c>
      <c r="B14" s="20" t="s">
        <v>425</v>
      </c>
      <c r="C14" s="21">
        <v>46183</v>
      </c>
      <c r="D14" s="21">
        <v>46183</v>
      </c>
      <c r="E14" s="20" t="s">
        <v>426</v>
      </c>
      <c r="F14" s="22">
        <v>0</v>
      </c>
      <c r="G14" s="22">
        <v>0</v>
      </c>
      <c r="H14" s="22">
        <v>0</v>
      </c>
      <c r="I14" s="22">
        <v>0</v>
      </c>
      <c r="J14" s="22">
        <f t="shared" si="0"/>
        <v>0</v>
      </c>
      <c r="K14" s="22">
        <f t="shared" si="1"/>
        <v>0</v>
      </c>
      <c r="L14" s="22">
        <v>0</v>
      </c>
      <c r="M14" s="22">
        <v>0</v>
      </c>
      <c r="N14" s="22">
        <v>0</v>
      </c>
      <c r="O14" s="23" t="str">
        <f t="shared" si="2"/>
        <v>n.a.</v>
      </c>
      <c r="P14" s="24">
        <v>0</v>
      </c>
      <c r="Q14" s="24" t="str">
        <f t="shared" si="3"/>
        <v>n.a.</v>
      </c>
      <c r="R14" s="22">
        <v>0</v>
      </c>
      <c r="S14" s="24">
        <v>0</v>
      </c>
      <c r="T14" s="24" t="str">
        <f t="shared" si="4"/>
        <v>n.a.</v>
      </c>
      <c r="U14" s="22">
        <v>0</v>
      </c>
      <c r="V14" s="24">
        <v>0</v>
      </c>
      <c r="W14" s="24" t="str">
        <f t="shared" si="5"/>
        <v>n.a.</v>
      </c>
      <c r="X14" s="22">
        <v>0</v>
      </c>
      <c r="Y14" s="24">
        <v>0</v>
      </c>
      <c r="Z14" s="24" t="str">
        <f t="shared" si="6"/>
        <v>n.a.</v>
      </c>
      <c r="AA14" s="22">
        <v>0</v>
      </c>
      <c r="AB14" s="24">
        <v>0</v>
      </c>
      <c r="AC14" s="24">
        <v>0</v>
      </c>
      <c r="AD14" s="24">
        <v>0</v>
      </c>
      <c r="AE14" s="24">
        <f t="shared" si="7"/>
        <v>0</v>
      </c>
      <c r="AF14" s="24" t="str">
        <f t="shared" si="8"/>
        <v>n.a.</v>
      </c>
      <c r="AG14" s="24">
        <f t="shared" si="9"/>
        <v>0</v>
      </c>
      <c r="AH14" s="23" t="str">
        <f t="shared" si="10"/>
        <v>n.a.</v>
      </c>
      <c r="AI14" s="23" t="str">
        <f t="shared" si="11"/>
        <v>n.a.</v>
      </c>
      <c r="AJ14" s="23" t="str">
        <f t="shared" si="12"/>
        <v>n.a.</v>
      </c>
      <c r="AK14" s="22">
        <v>0</v>
      </c>
      <c r="AL14" s="22">
        <v>0</v>
      </c>
      <c r="AM14" s="22">
        <v>0</v>
      </c>
      <c r="AN14" s="22">
        <v>0</v>
      </c>
      <c r="AO14" s="25"/>
      <c r="AP14" s="26"/>
    </row>
    <row r="15" spans="1:42" ht="33.950000000000003" customHeight="1">
      <c r="A15" s="27" t="s">
        <v>438</v>
      </c>
      <c r="B15" s="28" t="s">
        <v>439</v>
      </c>
      <c r="C15" s="29">
        <v>45505</v>
      </c>
      <c r="D15" s="29">
        <v>45535</v>
      </c>
      <c r="E15" s="28" t="s">
        <v>426</v>
      </c>
      <c r="F15" s="30">
        <v>38858</v>
      </c>
      <c r="G15" s="30">
        <v>37635</v>
      </c>
      <c r="H15" s="30">
        <v>1223</v>
      </c>
      <c r="I15" s="30">
        <v>393</v>
      </c>
      <c r="J15" s="30">
        <f t="shared" si="0"/>
        <v>38465</v>
      </c>
      <c r="K15" s="30">
        <f t="shared" si="1"/>
        <v>830</v>
      </c>
      <c r="L15" s="30">
        <v>39798</v>
      </c>
      <c r="M15" s="30">
        <v>705</v>
      </c>
      <c r="N15" s="30">
        <v>31728</v>
      </c>
      <c r="O15" s="31">
        <f t="shared" si="2"/>
        <v>0.84304503786369067</v>
      </c>
      <c r="P15" s="32">
        <v>563196.23</v>
      </c>
      <c r="Q15" s="32">
        <f t="shared" si="3"/>
        <v>14.964693237677693</v>
      </c>
      <c r="R15" s="30">
        <v>37635</v>
      </c>
      <c r="S15" s="32">
        <v>14204364</v>
      </c>
      <c r="T15" s="32">
        <f t="shared" si="4"/>
        <v>377.42431247508966</v>
      </c>
      <c r="U15" s="30">
        <v>30927</v>
      </c>
      <c r="V15" s="32">
        <v>1032115</v>
      </c>
      <c r="W15" s="32">
        <f t="shared" si="5"/>
        <v>33.372619394056976</v>
      </c>
      <c r="X15" s="30">
        <v>37635</v>
      </c>
      <c r="Y15" s="32">
        <v>87473</v>
      </c>
      <c r="Z15" s="32">
        <f t="shared" si="6"/>
        <v>2.3242460475621098</v>
      </c>
      <c r="AA15" s="30">
        <v>30927</v>
      </c>
      <c r="AB15" s="32">
        <v>11959904</v>
      </c>
      <c r="AC15" s="32">
        <v>1032115</v>
      </c>
      <c r="AD15" s="32">
        <v>67332</v>
      </c>
      <c r="AE15" s="32">
        <f t="shared" si="7"/>
        <v>13059351</v>
      </c>
      <c r="AF15" s="32">
        <f t="shared" si="8"/>
        <v>422.26375012125328</v>
      </c>
      <c r="AG15" s="32">
        <f t="shared" si="9"/>
        <v>3627.5974999999999</v>
      </c>
      <c r="AH15" s="31">
        <f t="shared" si="10"/>
        <v>0.97842194202521771</v>
      </c>
      <c r="AI15" s="31">
        <f t="shared" si="11"/>
        <v>3.1473570435946265E-2</v>
      </c>
      <c r="AJ15" s="31">
        <f t="shared" si="12"/>
        <v>2.157805797478227E-2</v>
      </c>
      <c r="AK15" s="30">
        <v>53</v>
      </c>
      <c r="AL15" s="30">
        <v>6708</v>
      </c>
      <c r="AM15" s="30">
        <v>0</v>
      </c>
      <c r="AN15" s="30">
        <v>0</v>
      </c>
      <c r="AO15" s="33">
        <v>45509</v>
      </c>
      <c r="AP15" s="34" t="s">
        <v>427</v>
      </c>
    </row>
    <row r="16" spans="1:42" ht="33.950000000000003" customHeight="1">
      <c r="A16" s="19" t="s">
        <v>440</v>
      </c>
      <c r="B16" s="20" t="s">
        <v>439</v>
      </c>
      <c r="C16" s="21">
        <v>45870</v>
      </c>
      <c r="D16" s="21">
        <v>45900</v>
      </c>
      <c r="E16" s="20" t="s">
        <v>426</v>
      </c>
      <c r="F16" s="22">
        <v>41342</v>
      </c>
      <c r="G16" s="22">
        <v>40048</v>
      </c>
      <c r="H16" s="22">
        <v>1294</v>
      </c>
      <c r="I16" s="22">
        <v>599</v>
      </c>
      <c r="J16" s="22">
        <f t="shared" si="0"/>
        <v>40743</v>
      </c>
      <c r="K16" s="22">
        <f t="shared" si="1"/>
        <v>695</v>
      </c>
      <c r="L16" s="22">
        <v>42038</v>
      </c>
      <c r="M16" s="22">
        <v>557</v>
      </c>
      <c r="N16" s="22">
        <v>35425</v>
      </c>
      <c r="O16" s="23">
        <f t="shared" si="2"/>
        <v>0.88456352377147418</v>
      </c>
      <c r="P16" s="24">
        <v>464734.04599999997</v>
      </c>
      <c r="Q16" s="24">
        <f t="shared" si="3"/>
        <v>11.604425838993208</v>
      </c>
      <c r="R16" s="22">
        <v>40048</v>
      </c>
      <c r="S16" s="24">
        <v>14056635</v>
      </c>
      <c r="T16" s="24">
        <f t="shared" si="4"/>
        <v>350.99468138234118</v>
      </c>
      <c r="U16" s="22">
        <v>33797</v>
      </c>
      <c r="V16" s="24">
        <v>750423</v>
      </c>
      <c r="W16" s="24">
        <f t="shared" si="5"/>
        <v>22.203834659881053</v>
      </c>
      <c r="X16" s="22">
        <v>40048</v>
      </c>
      <c r="Y16" s="24">
        <v>101483</v>
      </c>
      <c r="Z16" s="24">
        <f t="shared" si="6"/>
        <v>2.534034159009189</v>
      </c>
      <c r="AA16" s="22">
        <v>33797</v>
      </c>
      <c r="AB16" s="24">
        <v>12027559</v>
      </c>
      <c r="AC16" s="24">
        <v>750423</v>
      </c>
      <c r="AD16" s="24">
        <v>82195</v>
      </c>
      <c r="AE16" s="24">
        <f t="shared" si="7"/>
        <v>12860177</v>
      </c>
      <c r="AF16" s="24">
        <f t="shared" si="8"/>
        <v>380.51238275586593</v>
      </c>
      <c r="AG16" s="24">
        <f t="shared" si="9"/>
        <v>3572.2713888888889</v>
      </c>
      <c r="AH16" s="23">
        <f t="shared" si="10"/>
        <v>0.98294185504258402</v>
      </c>
      <c r="AI16" s="23">
        <f t="shared" si="11"/>
        <v>3.1299888733007597E-2</v>
      </c>
      <c r="AJ16" s="23">
        <f t="shared" si="12"/>
        <v>1.7058144957415998E-2</v>
      </c>
      <c r="AK16" s="22">
        <v>55</v>
      </c>
      <c r="AL16" s="22">
        <v>6251</v>
      </c>
      <c r="AM16" s="22">
        <v>0</v>
      </c>
      <c r="AN16" s="22">
        <v>0</v>
      </c>
      <c r="AO16" s="25">
        <v>45873</v>
      </c>
      <c r="AP16" s="26" t="s">
        <v>427</v>
      </c>
    </row>
    <row r="17" spans="1:42" ht="33.950000000000003" customHeight="1">
      <c r="A17" s="27" t="s">
        <v>441</v>
      </c>
      <c r="B17" s="28" t="s">
        <v>439</v>
      </c>
      <c r="C17" s="29">
        <v>46235</v>
      </c>
      <c r="D17" s="29">
        <v>46265</v>
      </c>
      <c r="E17" s="28" t="s">
        <v>426</v>
      </c>
      <c r="F17" s="30">
        <v>37740</v>
      </c>
      <c r="G17" s="30">
        <v>36148</v>
      </c>
      <c r="H17" s="30">
        <v>1592</v>
      </c>
      <c r="I17" s="30">
        <v>384</v>
      </c>
      <c r="J17" s="30">
        <f t="shared" si="0"/>
        <v>37356</v>
      </c>
      <c r="K17" s="30">
        <f t="shared" si="1"/>
        <v>1208</v>
      </c>
      <c r="L17" s="30">
        <v>38307</v>
      </c>
      <c r="M17" s="30">
        <v>419</v>
      </c>
      <c r="N17" s="30">
        <v>30623</v>
      </c>
      <c r="O17" s="31">
        <f t="shared" si="2"/>
        <v>0.84715613588580285</v>
      </c>
      <c r="P17" s="32">
        <v>616507.38199999998</v>
      </c>
      <c r="Q17" s="32">
        <f t="shared" si="3"/>
        <v>17.05508968684298</v>
      </c>
      <c r="R17" s="30">
        <v>36148</v>
      </c>
      <c r="S17" s="32">
        <v>13159257</v>
      </c>
      <c r="T17" s="32">
        <f t="shared" si="4"/>
        <v>364.03831470620781</v>
      </c>
      <c r="U17" s="30">
        <v>31318</v>
      </c>
      <c r="V17" s="32">
        <v>429095</v>
      </c>
      <c r="W17" s="32">
        <f t="shared" si="5"/>
        <v>13.701226131936906</v>
      </c>
      <c r="X17" s="30">
        <v>36147</v>
      </c>
      <c r="Y17" s="32">
        <v>89860</v>
      </c>
      <c r="Z17" s="32">
        <f t="shared" si="6"/>
        <v>2.485960107339475</v>
      </c>
      <c r="AA17" s="30">
        <v>31318</v>
      </c>
      <c r="AB17" s="32">
        <v>11557050</v>
      </c>
      <c r="AC17" s="32">
        <v>429095</v>
      </c>
      <c r="AD17" s="32">
        <v>75469</v>
      </c>
      <c r="AE17" s="32">
        <f t="shared" si="7"/>
        <v>12061614</v>
      </c>
      <c r="AF17" s="32">
        <f t="shared" si="8"/>
        <v>385.133597292292</v>
      </c>
      <c r="AG17" s="32">
        <f t="shared" si="9"/>
        <v>3350.4483333333333</v>
      </c>
      <c r="AH17" s="31">
        <f t="shared" si="10"/>
        <v>0.96766249063068854</v>
      </c>
      <c r="AI17" s="31">
        <f t="shared" si="11"/>
        <v>4.2183359830418654E-2</v>
      </c>
      <c r="AJ17" s="31">
        <f t="shared" si="12"/>
        <v>3.2337509369311492E-2</v>
      </c>
      <c r="AK17" s="30">
        <v>51</v>
      </c>
      <c r="AL17" s="30">
        <v>4830</v>
      </c>
      <c r="AM17" s="30">
        <v>1</v>
      </c>
      <c r="AN17" s="30">
        <v>0</v>
      </c>
      <c r="AO17" s="33">
        <v>46237</v>
      </c>
      <c r="AP17" s="34" t="s">
        <v>427</v>
      </c>
    </row>
    <row r="18" spans="1:42" ht="33.950000000000003" customHeight="1">
      <c r="A18" s="19" t="s">
        <v>442</v>
      </c>
      <c r="B18" s="20" t="s">
        <v>439</v>
      </c>
      <c r="C18" s="21">
        <v>46204</v>
      </c>
      <c r="D18" s="21">
        <v>46234</v>
      </c>
      <c r="E18" s="20" t="s">
        <v>426</v>
      </c>
      <c r="F18" s="22">
        <v>39937</v>
      </c>
      <c r="G18" s="22">
        <v>39147</v>
      </c>
      <c r="H18" s="22">
        <v>790</v>
      </c>
      <c r="I18" s="22">
        <v>328</v>
      </c>
      <c r="J18" s="22">
        <f t="shared" si="0"/>
        <v>39609</v>
      </c>
      <c r="K18" s="22">
        <f t="shared" si="1"/>
        <v>462</v>
      </c>
      <c r="L18" s="22">
        <v>40633</v>
      </c>
      <c r="M18" s="22">
        <v>580</v>
      </c>
      <c r="N18" s="22">
        <v>35811</v>
      </c>
      <c r="O18" s="23">
        <f t="shared" si="2"/>
        <v>0.91478274197256493</v>
      </c>
      <c r="P18" s="24">
        <v>362314.038</v>
      </c>
      <c r="Q18" s="24">
        <f t="shared" si="3"/>
        <v>9.2552184841750318</v>
      </c>
      <c r="R18" s="22">
        <v>39147</v>
      </c>
      <c r="S18" s="24">
        <v>13935561</v>
      </c>
      <c r="T18" s="24">
        <f t="shared" si="4"/>
        <v>355.98030500421487</v>
      </c>
      <c r="U18" s="22">
        <v>33600</v>
      </c>
      <c r="V18" s="24">
        <v>490172</v>
      </c>
      <c r="W18" s="24">
        <f t="shared" si="5"/>
        <v>14.588452380952381</v>
      </c>
      <c r="X18" s="22">
        <v>39147</v>
      </c>
      <c r="Y18" s="24">
        <v>97606</v>
      </c>
      <c r="Z18" s="24">
        <f t="shared" si="6"/>
        <v>2.4933200500676937</v>
      </c>
      <c r="AA18" s="22">
        <v>33600</v>
      </c>
      <c r="AB18" s="24">
        <v>12203554</v>
      </c>
      <c r="AC18" s="24">
        <v>490172</v>
      </c>
      <c r="AD18" s="24">
        <v>80817</v>
      </c>
      <c r="AE18" s="24">
        <f t="shared" si="7"/>
        <v>12774543</v>
      </c>
      <c r="AF18" s="24">
        <f t="shared" si="8"/>
        <v>380.19473214285716</v>
      </c>
      <c r="AG18" s="24">
        <f t="shared" si="9"/>
        <v>3548.4841666666666</v>
      </c>
      <c r="AH18" s="23">
        <f t="shared" si="10"/>
        <v>0.98833598424600466</v>
      </c>
      <c r="AI18" s="23">
        <f t="shared" si="11"/>
        <v>1.9781155319628416E-2</v>
      </c>
      <c r="AJ18" s="23">
        <f t="shared" si="12"/>
        <v>1.1664015753995303E-2</v>
      </c>
      <c r="AK18" s="22">
        <v>53</v>
      </c>
      <c r="AL18" s="22">
        <v>5547</v>
      </c>
      <c r="AM18" s="22">
        <v>0</v>
      </c>
      <c r="AN18" s="22">
        <v>0</v>
      </c>
      <c r="AO18" s="25">
        <v>46230</v>
      </c>
      <c r="AP18" s="26" t="s">
        <v>427</v>
      </c>
    </row>
    <row r="19" spans="1:42" ht="33.950000000000003" customHeight="1">
      <c r="A19" s="27" t="s">
        <v>443</v>
      </c>
      <c r="B19" s="28" t="s">
        <v>439</v>
      </c>
      <c r="C19" s="29">
        <v>46235</v>
      </c>
      <c r="D19" s="29">
        <v>46265</v>
      </c>
      <c r="E19" s="28" t="s">
        <v>432</v>
      </c>
      <c r="F19" s="30">
        <v>1111</v>
      </c>
      <c r="G19" s="30">
        <v>1084</v>
      </c>
      <c r="H19" s="30">
        <v>27</v>
      </c>
      <c r="I19" s="30">
        <v>12</v>
      </c>
      <c r="J19" s="30">
        <f t="shared" si="0"/>
        <v>1099</v>
      </c>
      <c r="K19" s="30">
        <f t="shared" si="1"/>
        <v>15</v>
      </c>
      <c r="L19" s="30">
        <v>1142</v>
      </c>
      <c r="M19" s="30">
        <v>13</v>
      </c>
      <c r="N19" s="30">
        <v>1058</v>
      </c>
      <c r="O19" s="31">
        <f t="shared" si="2"/>
        <v>0.97601476014760147</v>
      </c>
      <c r="P19" s="32">
        <v>7950.8620000000001</v>
      </c>
      <c r="Q19" s="32">
        <f t="shared" si="3"/>
        <v>7.3347435424354241</v>
      </c>
      <c r="R19" s="30">
        <v>1084</v>
      </c>
      <c r="S19" s="32">
        <v>324231</v>
      </c>
      <c r="T19" s="32">
        <f t="shared" si="4"/>
        <v>299.10608856088561</v>
      </c>
      <c r="U19" s="30">
        <v>956</v>
      </c>
      <c r="V19" s="32">
        <v>8905</v>
      </c>
      <c r="W19" s="32">
        <f t="shared" si="5"/>
        <v>9.314853556485355</v>
      </c>
      <c r="X19" s="30">
        <v>1084</v>
      </c>
      <c r="Y19" s="32">
        <v>2754</v>
      </c>
      <c r="Z19" s="32">
        <f t="shared" si="6"/>
        <v>2.5405904059040592</v>
      </c>
      <c r="AA19" s="30">
        <v>956</v>
      </c>
      <c r="AB19" s="32">
        <v>278814</v>
      </c>
      <c r="AC19" s="32">
        <v>8905</v>
      </c>
      <c r="AD19" s="32">
        <v>2367</v>
      </c>
      <c r="AE19" s="32">
        <f t="shared" si="7"/>
        <v>290086</v>
      </c>
      <c r="AF19" s="32">
        <f t="shared" si="8"/>
        <v>303.43723849372384</v>
      </c>
      <c r="AG19" s="32">
        <f t="shared" si="9"/>
        <v>80.579444444444448</v>
      </c>
      <c r="AH19" s="31">
        <f t="shared" si="10"/>
        <v>0.986351228389445</v>
      </c>
      <c r="AI19" s="31">
        <f t="shared" si="11"/>
        <v>2.4302430243024302E-2</v>
      </c>
      <c r="AJ19" s="31">
        <f t="shared" si="12"/>
        <v>1.364877161055505E-2</v>
      </c>
      <c r="AK19" s="30">
        <v>38</v>
      </c>
      <c r="AL19" s="30">
        <v>128</v>
      </c>
      <c r="AM19" s="30">
        <v>0</v>
      </c>
      <c r="AN19" s="30">
        <v>0</v>
      </c>
      <c r="AO19" s="33">
        <v>46237</v>
      </c>
      <c r="AP19" s="34" t="s">
        <v>433</v>
      </c>
    </row>
    <row r="20" spans="1:42" ht="33.950000000000003" customHeight="1">
      <c r="A20" s="19" t="s">
        <v>444</v>
      </c>
      <c r="B20" s="20" t="s">
        <v>439</v>
      </c>
      <c r="C20" s="21">
        <v>46235</v>
      </c>
      <c r="D20" s="21">
        <v>46265</v>
      </c>
      <c r="E20" s="20" t="s">
        <v>435</v>
      </c>
      <c r="F20" s="22">
        <v>1657</v>
      </c>
      <c r="G20" s="22">
        <v>1535</v>
      </c>
      <c r="H20" s="22">
        <v>122</v>
      </c>
      <c r="I20" s="22">
        <v>19</v>
      </c>
      <c r="J20" s="22">
        <f t="shared" si="0"/>
        <v>1638</v>
      </c>
      <c r="K20" s="22">
        <f t="shared" si="1"/>
        <v>103</v>
      </c>
      <c r="L20" s="22">
        <v>1672</v>
      </c>
      <c r="M20" s="22">
        <v>12</v>
      </c>
      <c r="N20" s="22">
        <v>1245</v>
      </c>
      <c r="O20" s="23">
        <f t="shared" si="2"/>
        <v>0.81107491856677527</v>
      </c>
      <c r="P20" s="24">
        <v>36086.392</v>
      </c>
      <c r="Q20" s="24">
        <f t="shared" si="3"/>
        <v>23.509050162866448</v>
      </c>
      <c r="R20" s="22">
        <v>1535</v>
      </c>
      <c r="S20" s="24">
        <v>557413</v>
      </c>
      <c r="T20" s="24">
        <f t="shared" si="4"/>
        <v>363.1355048859935</v>
      </c>
      <c r="U20" s="22">
        <v>1360</v>
      </c>
      <c r="V20" s="24">
        <v>14708</v>
      </c>
      <c r="W20" s="24">
        <f t="shared" si="5"/>
        <v>10.814705882352941</v>
      </c>
      <c r="X20" s="22">
        <v>1535</v>
      </c>
      <c r="Y20" s="24">
        <v>3720</v>
      </c>
      <c r="Z20" s="24">
        <f t="shared" si="6"/>
        <v>2.4234527687296419</v>
      </c>
      <c r="AA20" s="22">
        <v>1360</v>
      </c>
      <c r="AB20" s="24">
        <v>505768</v>
      </c>
      <c r="AC20" s="24">
        <v>14708</v>
      </c>
      <c r="AD20" s="24">
        <v>3219</v>
      </c>
      <c r="AE20" s="24">
        <f t="shared" si="7"/>
        <v>523695</v>
      </c>
      <c r="AF20" s="24">
        <f t="shared" si="8"/>
        <v>385.06985294117646</v>
      </c>
      <c r="AG20" s="24">
        <f t="shared" si="9"/>
        <v>145.47083333333333</v>
      </c>
      <c r="AH20" s="23">
        <f t="shared" si="10"/>
        <v>0.93711843711843712</v>
      </c>
      <c r="AI20" s="23">
        <f t="shared" si="11"/>
        <v>7.3627036813518412E-2</v>
      </c>
      <c r="AJ20" s="23">
        <f t="shared" si="12"/>
        <v>6.288156288156288E-2</v>
      </c>
      <c r="AK20" s="22">
        <v>35</v>
      </c>
      <c r="AL20" s="22">
        <v>175</v>
      </c>
      <c r="AM20" s="22">
        <v>0</v>
      </c>
      <c r="AN20" s="22">
        <v>0</v>
      </c>
      <c r="AO20" s="25">
        <v>46237</v>
      </c>
      <c r="AP20" s="26" t="s">
        <v>436</v>
      </c>
    </row>
    <row r="21" spans="1:42" ht="33.950000000000003" customHeight="1">
      <c r="A21" s="27" t="s">
        <v>445</v>
      </c>
      <c r="B21" s="28" t="s">
        <v>439</v>
      </c>
      <c r="C21" s="29">
        <v>46183</v>
      </c>
      <c r="D21" s="29">
        <v>46183</v>
      </c>
      <c r="E21" s="28" t="s">
        <v>426</v>
      </c>
      <c r="F21" s="30">
        <v>0</v>
      </c>
      <c r="G21" s="30">
        <v>0</v>
      </c>
      <c r="H21" s="30">
        <v>0</v>
      </c>
      <c r="I21" s="30">
        <v>0</v>
      </c>
      <c r="J21" s="30">
        <f t="shared" si="0"/>
        <v>0</v>
      </c>
      <c r="K21" s="30">
        <f t="shared" si="1"/>
        <v>0</v>
      </c>
      <c r="L21" s="30">
        <v>0</v>
      </c>
      <c r="M21" s="30">
        <v>0</v>
      </c>
      <c r="N21" s="30">
        <v>0</v>
      </c>
      <c r="O21" s="31" t="str">
        <f t="shared" si="2"/>
        <v>n.a.</v>
      </c>
      <c r="P21" s="32">
        <v>0</v>
      </c>
      <c r="Q21" s="32" t="str">
        <f t="shared" si="3"/>
        <v>n.a.</v>
      </c>
      <c r="R21" s="30">
        <v>0</v>
      </c>
      <c r="S21" s="32">
        <v>0</v>
      </c>
      <c r="T21" s="32" t="str">
        <f t="shared" si="4"/>
        <v>n.a.</v>
      </c>
      <c r="U21" s="30">
        <v>0</v>
      </c>
      <c r="V21" s="32">
        <v>0</v>
      </c>
      <c r="W21" s="32" t="str">
        <f t="shared" si="5"/>
        <v>n.a.</v>
      </c>
      <c r="X21" s="30">
        <v>0</v>
      </c>
      <c r="Y21" s="32">
        <v>0</v>
      </c>
      <c r="Z21" s="32" t="str">
        <f t="shared" si="6"/>
        <v>n.a.</v>
      </c>
      <c r="AA21" s="30">
        <v>0</v>
      </c>
      <c r="AB21" s="32">
        <v>0</v>
      </c>
      <c r="AC21" s="32">
        <v>0</v>
      </c>
      <c r="AD21" s="32">
        <v>0</v>
      </c>
      <c r="AE21" s="32">
        <f t="shared" si="7"/>
        <v>0</v>
      </c>
      <c r="AF21" s="32" t="str">
        <f t="shared" si="8"/>
        <v>n.a.</v>
      </c>
      <c r="AG21" s="32">
        <f t="shared" si="9"/>
        <v>0</v>
      </c>
      <c r="AH21" s="31" t="str">
        <f t="shared" si="10"/>
        <v>n.a.</v>
      </c>
      <c r="AI21" s="31" t="str">
        <f t="shared" si="11"/>
        <v>n.a.</v>
      </c>
      <c r="AJ21" s="31" t="str">
        <f t="shared" si="12"/>
        <v>n.a.</v>
      </c>
      <c r="AK21" s="30">
        <v>0</v>
      </c>
      <c r="AL21" s="30">
        <v>0</v>
      </c>
      <c r="AM21" s="30">
        <v>0</v>
      </c>
      <c r="AN21" s="30">
        <v>0</v>
      </c>
      <c r="AO21" s="33"/>
      <c r="AP21" s="34"/>
    </row>
    <row r="22" spans="1:42" ht="33.950000000000003" customHeight="1">
      <c r="A22" s="19" t="s">
        <v>446</v>
      </c>
      <c r="B22" s="20" t="s">
        <v>447</v>
      </c>
      <c r="C22" s="21">
        <v>46235</v>
      </c>
      <c r="D22" s="21">
        <v>46265</v>
      </c>
      <c r="E22" s="20" t="s">
        <v>426</v>
      </c>
      <c r="F22" s="22">
        <v>232</v>
      </c>
      <c r="G22" s="22">
        <v>211</v>
      </c>
      <c r="H22" s="22">
        <v>21</v>
      </c>
      <c r="I22" s="22">
        <v>10</v>
      </c>
      <c r="J22" s="22">
        <f t="shared" si="0"/>
        <v>222</v>
      </c>
      <c r="K22" s="22">
        <f t="shared" si="1"/>
        <v>11</v>
      </c>
      <c r="L22" s="22">
        <v>236</v>
      </c>
      <c r="M22" s="22">
        <v>4</v>
      </c>
      <c r="N22" s="22">
        <v>174</v>
      </c>
      <c r="O22" s="23">
        <f t="shared" si="2"/>
        <v>0.82464454976303314</v>
      </c>
      <c r="P22" s="24">
        <v>4675.8720000000003</v>
      </c>
      <c r="Q22" s="24">
        <f t="shared" si="3"/>
        <v>22.160530805687205</v>
      </c>
      <c r="R22" s="22">
        <v>211</v>
      </c>
      <c r="S22" s="24">
        <v>61128</v>
      </c>
      <c r="T22" s="24">
        <f t="shared" si="4"/>
        <v>289.70616113744074</v>
      </c>
      <c r="U22" s="22">
        <v>154</v>
      </c>
      <c r="V22" s="24">
        <v>2805</v>
      </c>
      <c r="W22" s="24">
        <f t="shared" si="5"/>
        <v>18.214285714285715</v>
      </c>
      <c r="X22" s="22">
        <v>211</v>
      </c>
      <c r="Y22" s="24">
        <v>750</v>
      </c>
      <c r="Z22" s="24">
        <f t="shared" si="6"/>
        <v>3.5545023696682465</v>
      </c>
      <c r="AA22" s="22">
        <v>154</v>
      </c>
      <c r="AB22" s="24">
        <v>49743</v>
      </c>
      <c r="AC22" s="24">
        <v>2805</v>
      </c>
      <c r="AD22" s="24">
        <v>498</v>
      </c>
      <c r="AE22" s="24">
        <f t="shared" si="7"/>
        <v>53046</v>
      </c>
      <c r="AF22" s="24">
        <f t="shared" si="8"/>
        <v>344.45454545454544</v>
      </c>
      <c r="AG22" s="24">
        <f t="shared" si="9"/>
        <v>14.734999999999999</v>
      </c>
      <c r="AH22" s="23">
        <f t="shared" si="10"/>
        <v>0.9504504504504504</v>
      </c>
      <c r="AI22" s="23">
        <f t="shared" si="11"/>
        <v>9.0517241379310345E-2</v>
      </c>
      <c r="AJ22" s="23">
        <f t="shared" si="12"/>
        <v>4.954954954954955E-2</v>
      </c>
      <c r="AK22" s="22">
        <v>47</v>
      </c>
      <c r="AL22" s="22">
        <v>57</v>
      </c>
      <c r="AM22" s="22">
        <v>0</v>
      </c>
      <c r="AN22" s="22">
        <v>0</v>
      </c>
      <c r="AO22" s="25">
        <v>46237</v>
      </c>
      <c r="AP22" s="26" t="s">
        <v>448</v>
      </c>
    </row>
    <row r="23" spans="1:42" ht="35.1" customHeight="1">
      <c r="A23" s="27" t="s">
        <v>449</v>
      </c>
      <c r="B23" s="28" t="s">
        <v>450</v>
      </c>
      <c r="C23" s="29">
        <v>46235</v>
      </c>
      <c r="D23" s="29">
        <v>46265</v>
      </c>
      <c r="E23" s="28" t="s">
        <v>426</v>
      </c>
      <c r="F23" s="30">
        <v>38013</v>
      </c>
      <c r="G23" s="30">
        <v>36359</v>
      </c>
      <c r="H23" s="30">
        <v>1654</v>
      </c>
      <c r="I23" s="30">
        <v>435</v>
      </c>
      <c r="J23" s="30">
        <f t="shared" si="0"/>
        <v>37578</v>
      </c>
      <c r="K23" s="30">
        <f t="shared" si="1"/>
        <v>1219</v>
      </c>
      <c r="L23" s="30">
        <v>38584</v>
      </c>
      <c r="M23" s="30">
        <v>423</v>
      </c>
      <c r="N23" s="30">
        <v>30797</v>
      </c>
      <c r="O23" s="31">
        <f t="shared" si="2"/>
        <v>0.84702549575070818</v>
      </c>
      <c r="P23" s="32">
        <v>621183.25399999996</v>
      </c>
      <c r="Q23" s="32">
        <f t="shared" si="3"/>
        <v>17.084717786517778</v>
      </c>
      <c r="R23" s="30">
        <v>36359</v>
      </c>
      <c r="S23" s="32">
        <v>13220385</v>
      </c>
      <c r="T23" s="32">
        <f t="shared" si="4"/>
        <v>363.60694738579167</v>
      </c>
      <c r="U23" s="30">
        <v>31472</v>
      </c>
      <c r="V23" s="32">
        <v>431900</v>
      </c>
      <c r="W23" s="32">
        <f t="shared" si="5"/>
        <v>13.723309608540925</v>
      </c>
      <c r="X23" s="30">
        <v>36358</v>
      </c>
      <c r="Y23" s="32">
        <v>90610</v>
      </c>
      <c r="Z23" s="32">
        <f t="shared" si="6"/>
        <v>2.4921612849991748</v>
      </c>
      <c r="AA23" s="30">
        <v>31472</v>
      </c>
      <c r="AB23" s="32">
        <v>11606793</v>
      </c>
      <c r="AC23" s="32">
        <v>431900</v>
      </c>
      <c r="AD23" s="32">
        <v>75967</v>
      </c>
      <c r="AE23" s="32">
        <f t="shared" si="7"/>
        <v>12114660</v>
      </c>
      <c r="AF23" s="32">
        <f t="shared" si="8"/>
        <v>384.93454499237419</v>
      </c>
      <c r="AG23" s="32">
        <f t="shared" si="9"/>
        <v>3365.1833333333334</v>
      </c>
      <c r="AH23" s="31">
        <f t="shared" si="10"/>
        <v>0.96756080685507473</v>
      </c>
      <c r="AI23" s="31">
        <f t="shared" si="11"/>
        <v>4.351143030016047E-2</v>
      </c>
      <c r="AJ23" s="31">
        <f t="shared" si="12"/>
        <v>3.2439193144925223E-2</v>
      </c>
      <c r="AK23" s="30">
        <v>51</v>
      </c>
      <c r="AL23" s="30">
        <v>4887</v>
      </c>
      <c r="AM23" s="30">
        <v>1</v>
      </c>
      <c r="AN23" s="30">
        <v>0</v>
      </c>
      <c r="AO23" s="33">
        <v>46237</v>
      </c>
      <c r="AP23" s="34" t="s">
        <v>427</v>
      </c>
    </row>
    <row r="24" spans="1:42" ht="33.950000000000003" customHeight="1">
      <c r="A24" s="19" t="s">
        <v>451</v>
      </c>
      <c r="B24" s="20" t="s">
        <v>452</v>
      </c>
      <c r="C24" s="21">
        <v>45292</v>
      </c>
      <c r="D24" s="21">
        <v>46265</v>
      </c>
      <c r="E24" s="20" t="s">
        <v>426</v>
      </c>
      <c r="F24" s="22">
        <v>126</v>
      </c>
      <c r="G24" s="22">
        <v>99</v>
      </c>
      <c r="H24" s="22">
        <v>27</v>
      </c>
      <c r="I24" s="22">
        <v>27</v>
      </c>
      <c r="J24" s="22">
        <f t="shared" si="0"/>
        <v>99</v>
      </c>
      <c r="K24" s="22">
        <f t="shared" si="1"/>
        <v>0</v>
      </c>
      <c r="L24" s="22">
        <v>166</v>
      </c>
      <c r="M24" s="22">
        <v>24</v>
      </c>
      <c r="N24" s="22">
        <v>99</v>
      </c>
      <c r="O24" s="23">
        <f t="shared" si="2"/>
        <v>1</v>
      </c>
      <c r="P24" s="24">
        <v>0</v>
      </c>
      <c r="Q24" s="24">
        <f t="shared" si="3"/>
        <v>0</v>
      </c>
      <c r="R24" s="22">
        <v>99</v>
      </c>
      <c r="S24" s="24">
        <v>21565</v>
      </c>
      <c r="T24" s="24">
        <f t="shared" si="4"/>
        <v>217.82828282828282</v>
      </c>
      <c r="U24" s="22">
        <v>56</v>
      </c>
      <c r="V24" s="24">
        <v>770</v>
      </c>
      <c r="W24" s="24">
        <f t="shared" si="5"/>
        <v>13.75</v>
      </c>
      <c r="X24" s="22">
        <v>99</v>
      </c>
      <c r="Y24" s="24">
        <v>704</v>
      </c>
      <c r="Z24" s="24">
        <f t="shared" si="6"/>
        <v>7.1111111111111107</v>
      </c>
      <c r="AA24" s="22">
        <v>56</v>
      </c>
      <c r="AB24" s="24">
        <v>16257</v>
      </c>
      <c r="AC24" s="24">
        <v>770</v>
      </c>
      <c r="AD24" s="24">
        <v>253</v>
      </c>
      <c r="AE24" s="24">
        <f t="shared" si="7"/>
        <v>17280</v>
      </c>
      <c r="AF24" s="24">
        <f t="shared" si="8"/>
        <v>308.57142857142856</v>
      </c>
      <c r="AG24" s="24">
        <f t="shared" si="9"/>
        <v>4.8</v>
      </c>
      <c r="AH24" s="23">
        <f t="shared" si="10"/>
        <v>1</v>
      </c>
      <c r="AI24" s="23">
        <f t="shared" si="11"/>
        <v>0.21428571428571427</v>
      </c>
      <c r="AJ24" s="23">
        <f t="shared" si="12"/>
        <v>0</v>
      </c>
      <c r="AK24" s="22">
        <v>10</v>
      </c>
      <c r="AL24" s="22">
        <v>43</v>
      </c>
      <c r="AM24" s="22">
        <v>0</v>
      </c>
      <c r="AN24" s="22">
        <v>0</v>
      </c>
      <c r="AO24" s="25">
        <v>45736</v>
      </c>
      <c r="AP24" s="26" t="s">
        <v>453</v>
      </c>
    </row>
    <row r="25" spans="1:42" ht="33.950000000000003" customHeight="1">
      <c r="A25" s="27" t="s">
        <v>454</v>
      </c>
      <c r="B25" s="28" t="s">
        <v>455</v>
      </c>
      <c r="C25" s="29">
        <v>45658</v>
      </c>
      <c r="D25" s="29">
        <v>46022</v>
      </c>
      <c r="E25" s="28" t="s">
        <v>426</v>
      </c>
      <c r="F25" s="30">
        <v>564</v>
      </c>
      <c r="G25" s="30">
        <v>0</v>
      </c>
      <c r="H25" s="30">
        <v>564</v>
      </c>
      <c r="I25" s="30">
        <v>564</v>
      </c>
      <c r="J25" s="30">
        <f t="shared" si="0"/>
        <v>0</v>
      </c>
      <c r="K25" s="30">
        <f t="shared" si="1"/>
        <v>0</v>
      </c>
      <c r="L25" s="30">
        <v>564</v>
      </c>
      <c r="M25" s="30">
        <v>0</v>
      </c>
      <c r="N25" s="30">
        <v>0</v>
      </c>
      <c r="O25" s="31" t="str">
        <f t="shared" si="2"/>
        <v>n.a.</v>
      </c>
      <c r="P25" s="32">
        <v>0</v>
      </c>
      <c r="Q25" s="32" t="str">
        <f t="shared" si="3"/>
        <v>n.a.</v>
      </c>
      <c r="R25" s="30">
        <v>0</v>
      </c>
      <c r="S25" s="32">
        <v>0</v>
      </c>
      <c r="T25" s="32" t="str">
        <f t="shared" si="4"/>
        <v>n.a.</v>
      </c>
      <c r="U25" s="30">
        <v>0</v>
      </c>
      <c r="V25" s="32">
        <v>0</v>
      </c>
      <c r="W25" s="32" t="str">
        <f t="shared" si="5"/>
        <v>n.a.</v>
      </c>
      <c r="X25" s="30">
        <v>0</v>
      </c>
      <c r="Y25" s="32">
        <v>0</v>
      </c>
      <c r="Z25" s="32" t="str">
        <f t="shared" si="6"/>
        <v>n.a.</v>
      </c>
      <c r="AA25" s="30">
        <v>0</v>
      </c>
      <c r="AB25" s="32">
        <v>0</v>
      </c>
      <c r="AC25" s="32">
        <v>0</v>
      </c>
      <c r="AD25" s="32">
        <v>0</v>
      </c>
      <c r="AE25" s="32">
        <f t="shared" si="7"/>
        <v>0</v>
      </c>
      <c r="AF25" s="32" t="str">
        <f t="shared" si="8"/>
        <v>n.a.</v>
      </c>
      <c r="AG25" s="32">
        <f t="shared" si="9"/>
        <v>0</v>
      </c>
      <c r="AH25" s="31" t="str">
        <f t="shared" si="10"/>
        <v>n.a.</v>
      </c>
      <c r="AI25" s="31">
        <f t="shared" si="11"/>
        <v>1</v>
      </c>
      <c r="AJ25" s="31" t="str">
        <f t="shared" si="12"/>
        <v>n.a.</v>
      </c>
      <c r="AK25" s="30">
        <v>0</v>
      </c>
      <c r="AL25" s="30">
        <v>0</v>
      </c>
      <c r="AM25" s="30">
        <v>0</v>
      </c>
      <c r="AN25" s="30">
        <v>0</v>
      </c>
      <c r="AO25" s="33">
        <v>45747</v>
      </c>
      <c r="AP25" s="34" t="s">
        <v>456</v>
      </c>
    </row>
    <row r="28" spans="1:42" ht="24.95" customHeight="1">
      <c r="A28" s="11" t="s">
        <v>457</v>
      </c>
      <c r="B28" s="11"/>
      <c r="C28" s="11"/>
      <c r="D28" s="11"/>
      <c r="E28" s="11"/>
      <c r="F28" s="11"/>
    </row>
    <row r="29" spans="1:42" ht="42" customHeight="1">
      <c r="A29" s="6" t="s">
        <v>458</v>
      </c>
      <c r="B29" s="7" t="s">
        <v>459</v>
      </c>
      <c r="C29" s="7" t="s">
        <v>460</v>
      </c>
      <c r="D29" s="7" t="s">
        <v>461</v>
      </c>
      <c r="E29" s="7" t="s">
        <v>462</v>
      </c>
      <c r="F29" s="8" t="s">
        <v>463</v>
      </c>
    </row>
    <row r="30" spans="1:42" ht="29.1" customHeight="1">
      <c r="A30" t="s">
        <v>220</v>
      </c>
      <c r="B30" t="s">
        <v>464</v>
      </c>
      <c r="C30" s="35">
        <f>F10</f>
        <v>37402</v>
      </c>
      <c r="D30" s="35">
        <f>F11</f>
        <v>39539</v>
      </c>
      <c r="E30" s="35">
        <f>C30-D30</f>
        <v>-2137</v>
      </c>
      <c r="F30" s="36">
        <f>IF(D30=0,"n.a.",C30/D30-1)</f>
        <v>-5.4047902071372556E-2</v>
      </c>
    </row>
    <row r="31" spans="1:42" ht="29.1" customHeight="1">
      <c r="A31" t="s">
        <v>226</v>
      </c>
      <c r="B31" t="s">
        <v>465</v>
      </c>
      <c r="C31" s="35">
        <f>F17</f>
        <v>37740</v>
      </c>
      <c r="D31" s="35">
        <f>F18</f>
        <v>39937</v>
      </c>
      <c r="E31" s="35">
        <f>C31-D31</f>
        <v>-2197</v>
      </c>
      <c r="F31" s="36">
        <f>IF(D31=0,"n.a.",C31/D31-1)</f>
        <v>-5.501164333825781E-2</v>
      </c>
    </row>
    <row r="32" spans="1:42" ht="29.1" customHeight="1">
      <c r="A32" t="s">
        <v>231</v>
      </c>
      <c r="B32" t="s">
        <v>466</v>
      </c>
      <c r="C32" s="35">
        <f>F10</f>
        <v>37402</v>
      </c>
      <c r="D32" s="35">
        <f>F9</f>
        <v>41023</v>
      </c>
      <c r="E32" s="35">
        <f>C32-D32</f>
        <v>-3621</v>
      </c>
      <c r="F32" s="36">
        <f>IF(D32=0,"n.a.",C32/D32-1)</f>
        <v>-8.8267557223996262E-2</v>
      </c>
    </row>
    <row r="33" spans="1:6" ht="29.1" customHeight="1">
      <c r="A33" t="s">
        <v>237</v>
      </c>
      <c r="B33" t="s">
        <v>467</v>
      </c>
      <c r="C33" s="35">
        <f>F17</f>
        <v>37740</v>
      </c>
      <c r="D33" s="35">
        <f>F16</f>
        <v>41342</v>
      </c>
      <c r="E33" s="35">
        <f>C33-D33</f>
        <v>-3602</v>
      </c>
      <c r="F33" s="36">
        <f>IF(D33=0,"n.a.",C33/D33-1)</f>
        <v>-8.712689274829466E-2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96A6"/>
  </sheetPr>
  <dimension ref="A1:D150"/>
  <sheetViews>
    <sheetView showGridLines="0" workbookViewId="0">
      <pane ySplit="8" topLeftCell="A23" activePane="bottomLeft" state="frozen"/>
      <selection pane="bottomLeft" activeCell="C31" sqref="C31"/>
    </sheetView>
  </sheetViews>
  <sheetFormatPr defaultRowHeight="14.25"/>
  <cols>
    <col min="1" max="1" width="27" customWidth="1"/>
    <col min="2" max="2" width="108" customWidth="1"/>
    <col min="3" max="3" width="23" customWidth="1"/>
    <col min="4" max="4" width="19" customWidth="1"/>
  </cols>
  <sheetData>
    <row r="1" spans="1:4">
      <c r="A1" s="1"/>
      <c r="B1" s="1"/>
      <c r="C1" s="1"/>
      <c r="D1" s="1"/>
    </row>
    <row r="2" spans="1:4" ht="27" customHeight="1">
      <c r="A2" s="2" t="s">
        <v>468</v>
      </c>
      <c r="B2" s="3"/>
      <c r="C2" s="3"/>
      <c r="D2" s="3"/>
    </row>
    <row r="3" spans="1:4" ht="23.1" customHeight="1">
      <c r="A3" s="1" t="s">
        <v>469</v>
      </c>
      <c r="B3" s="1"/>
      <c r="C3" s="1"/>
      <c r="D3" s="1"/>
    </row>
    <row r="4" spans="1:4" ht="24" customHeight="1">
      <c r="A4" s="1" t="s">
        <v>470</v>
      </c>
      <c r="B4" s="5" t="s">
        <v>471</v>
      </c>
      <c r="C4" s="1"/>
      <c r="D4" s="1"/>
    </row>
    <row r="5" spans="1:4" ht="24" customHeight="1">
      <c r="A5" s="1" t="s">
        <v>472</v>
      </c>
      <c r="B5" s="5" t="s">
        <v>473</v>
      </c>
      <c r="C5" s="1"/>
      <c r="D5" s="1"/>
    </row>
    <row r="6" spans="1:4" ht="24" customHeight="1">
      <c r="A6" s="1" t="s">
        <v>474</v>
      </c>
      <c r="B6" s="5" t="s">
        <v>475</v>
      </c>
      <c r="C6" s="1"/>
      <c r="D6" s="1"/>
    </row>
    <row r="7" spans="1:4">
      <c r="A7" s="1"/>
      <c r="B7" s="1"/>
      <c r="C7" s="1"/>
      <c r="D7" s="1"/>
    </row>
    <row r="8" spans="1:4">
      <c r="A8" s="6" t="s">
        <v>476</v>
      </c>
      <c r="B8" s="7" t="s">
        <v>477</v>
      </c>
      <c r="C8" s="7" t="s">
        <v>478</v>
      </c>
      <c r="D8" s="8" t="s">
        <v>11</v>
      </c>
    </row>
    <row r="9" spans="1:4" ht="30" customHeight="1">
      <c r="A9" s="9" t="s">
        <v>479</v>
      </c>
      <c r="B9" s="9" t="s">
        <v>480</v>
      </c>
      <c r="C9" s="12"/>
      <c r="D9" s="12"/>
    </row>
    <row r="10" spans="1:4" ht="42" customHeight="1">
      <c r="A10" s="10" t="s">
        <v>481</v>
      </c>
      <c r="B10" s="10" t="s">
        <v>482</v>
      </c>
      <c r="C10" s="14"/>
      <c r="D10" s="14"/>
    </row>
    <row r="11" spans="1:4" ht="30" customHeight="1">
      <c r="A11" s="9" t="s">
        <v>483</v>
      </c>
      <c r="B11" s="9" t="s">
        <v>484</v>
      </c>
      <c r="C11" s="12"/>
      <c r="D11" s="12"/>
    </row>
    <row r="12" spans="1:4" ht="42" customHeight="1">
      <c r="A12" s="10" t="s">
        <v>485</v>
      </c>
      <c r="B12" s="10" t="s">
        <v>486</v>
      </c>
      <c r="C12" s="14"/>
      <c r="D12" s="14"/>
    </row>
    <row r="13" spans="1:4" ht="36" customHeight="1">
      <c r="A13" s="9" t="s">
        <v>487</v>
      </c>
      <c r="B13" s="9" t="s">
        <v>488</v>
      </c>
      <c r="C13" s="12"/>
      <c r="D13" s="12"/>
    </row>
    <row r="14" spans="1:4" ht="42" customHeight="1">
      <c r="A14" s="10" t="s">
        <v>489</v>
      </c>
      <c r="B14" s="10" t="s">
        <v>490</v>
      </c>
      <c r="C14" s="14"/>
      <c r="D14" s="14"/>
    </row>
    <row r="15" spans="1:4" ht="30" customHeight="1">
      <c r="A15" s="9" t="s">
        <v>491</v>
      </c>
      <c r="B15" s="9" t="s">
        <v>492</v>
      </c>
      <c r="C15" s="12"/>
      <c r="D15" s="12"/>
    </row>
    <row r="16" spans="1:4" ht="42" customHeight="1">
      <c r="A16" s="10" t="s">
        <v>493</v>
      </c>
      <c r="B16" s="10" t="s">
        <v>494</v>
      </c>
      <c r="C16" s="14"/>
      <c r="D16" s="14"/>
    </row>
    <row r="17" spans="1:4" ht="30" customHeight="1">
      <c r="A17" s="9" t="s">
        <v>495</v>
      </c>
      <c r="B17" s="9" t="s">
        <v>496</v>
      </c>
      <c r="C17" s="12"/>
      <c r="D17" s="12"/>
    </row>
    <row r="18" spans="1:4" ht="30" customHeight="1">
      <c r="A18" s="10" t="s">
        <v>391</v>
      </c>
      <c r="B18" s="10" t="s">
        <v>497</v>
      </c>
      <c r="C18" s="14"/>
      <c r="D18" s="14"/>
    </row>
    <row r="19" spans="1:4" ht="48.95" customHeight="1">
      <c r="A19" s="9" t="s">
        <v>498</v>
      </c>
      <c r="B19" s="9" t="s">
        <v>499</v>
      </c>
      <c r="C19" s="12"/>
      <c r="D19" s="12"/>
    </row>
    <row r="20" spans="1:4" ht="30" customHeight="1">
      <c r="A20" s="10" t="s">
        <v>500</v>
      </c>
      <c r="B20" s="10" t="s">
        <v>501</v>
      </c>
      <c r="C20" s="14"/>
      <c r="D20" s="14"/>
    </row>
    <row r="21" spans="1:4" ht="48.95" customHeight="1">
      <c r="A21" s="9" t="s">
        <v>502</v>
      </c>
      <c r="B21" s="9" t="s">
        <v>503</v>
      </c>
      <c r="C21" s="12"/>
      <c r="D21" s="12"/>
    </row>
    <row r="22" spans="1:4" ht="48.95" customHeight="1">
      <c r="A22" s="10" t="s">
        <v>504</v>
      </c>
      <c r="B22" s="10" t="s">
        <v>505</v>
      </c>
      <c r="C22" s="14"/>
      <c r="D22" s="14"/>
    </row>
    <row r="23" spans="1:4" ht="48.95" customHeight="1">
      <c r="A23" s="9" t="s">
        <v>506</v>
      </c>
      <c r="B23" s="9" t="s">
        <v>507</v>
      </c>
      <c r="C23" s="12"/>
      <c r="D23" s="12"/>
    </row>
    <row r="24" spans="1:4" ht="36" customHeight="1">
      <c r="A24" s="10" t="s">
        <v>508</v>
      </c>
      <c r="B24" s="10" t="s">
        <v>509</v>
      </c>
      <c r="C24" s="14"/>
      <c r="D24" s="14"/>
    </row>
    <row r="25" spans="1:4" ht="48.95" customHeight="1">
      <c r="A25" s="9" t="s">
        <v>510</v>
      </c>
      <c r="B25" s="9" t="s">
        <v>511</v>
      </c>
      <c r="C25" s="12"/>
      <c r="D25" s="12"/>
    </row>
    <row r="26" spans="1:4" ht="42" customHeight="1">
      <c r="A26" s="10" t="s">
        <v>512</v>
      </c>
      <c r="B26" s="10" t="s">
        <v>513</v>
      </c>
      <c r="C26" s="14"/>
      <c r="D26" s="14"/>
    </row>
    <row r="27" spans="1:4">
      <c r="A27" s="15"/>
      <c r="B27" s="15"/>
      <c r="C27" s="15"/>
      <c r="D27" s="15"/>
    </row>
    <row r="28" spans="1:4">
      <c r="A28" s="15"/>
      <c r="B28" s="15"/>
      <c r="C28" s="15"/>
      <c r="D28" s="15"/>
    </row>
    <row r="29" spans="1:4" ht="24.95" customHeight="1">
      <c r="A29" s="16" t="s">
        <v>514</v>
      </c>
      <c r="B29" s="16"/>
      <c r="C29" s="16"/>
      <c r="D29" s="16"/>
    </row>
    <row r="30" spans="1:4">
      <c r="A30" s="6" t="s">
        <v>5</v>
      </c>
      <c r="B30" s="7" t="s">
        <v>515</v>
      </c>
      <c r="C30" s="7" t="s">
        <v>478</v>
      </c>
      <c r="D30" s="8" t="s">
        <v>11</v>
      </c>
    </row>
    <row r="31" spans="1:4" ht="32.1" customHeight="1">
      <c r="A31" s="12" t="s">
        <v>356</v>
      </c>
      <c r="B31" s="12" t="s">
        <v>516</v>
      </c>
      <c r="C31" s="13">
        <v>1386061</v>
      </c>
      <c r="D31" s="12" t="s">
        <v>361</v>
      </c>
    </row>
    <row r="32" spans="1:4" ht="32.1" customHeight="1">
      <c r="A32" s="12" t="s">
        <v>356</v>
      </c>
      <c r="B32" s="12" t="s">
        <v>517</v>
      </c>
      <c r="C32" s="13">
        <v>1358265</v>
      </c>
      <c r="D32" s="12" t="s">
        <v>518</v>
      </c>
    </row>
    <row r="33" spans="1:4" ht="32.1" customHeight="1">
      <c r="A33" s="12" t="s">
        <v>519</v>
      </c>
      <c r="B33" s="12" t="s">
        <v>520</v>
      </c>
      <c r="C33" s="13">
        <v>37723</v>
      </c>
      <c r="D33" s="12" t="s">
        <v>361</v>
      </c>
    </row>
    <row r="34" spans="1:4" ht="30" customHeight="1">
      <c r="A34" s="12" t="s">
        <v>519</v>
      </c>
      <c r="B34" s="12" t="s">
        <v>521</v>
      </c>
      <c r="C34" s="13">
        <v>37722</v>
      </c>
      <c r="D34" s="12" t="s">
        <v>361</v>
      </c>
    </row>
    <row r="35" spans="1:4" ht="24" customHeight="1">
      <c r="A35" s="12" t="s">
        <v>522</v>
      </c>
      <c r="B35" s="12" t="s">
        <v>523</v>
      </c>
      <c r="C35" s="13">
        <v>1</v>
      </c>
      <c r="D35" s="12" t="s">
        <v>361</v>
      </c>
    </row>
    <row r="36" spans="1:4" ht="32.1" customHeight="1">
      <c r="A36" s="12" t="s">
        <v>524</v>
      </c>
      <c r="B36" s="12" t="s">
        <v>525</v>
      </c>
      <c r="C36" s="13">
        <v>166</v>
      </c>
      <c r="D36" s="12" t="s">
        <v>526</v>
      </c>
    </row>
    <row r="37" spans="1:4" ht="32.1" customHeight="1">
      <c r="A37" s="12" t="s">
        <v>524</v>
      </c>
      <c r="B37" s="12" t="s">
        <v>527</v>
      </c>
      <c r="C37" s="13">
        <v>126</v>
      </c>
      <c r="D37" s="12" t="s">
        <v>518</v>
      </c>
    </row>
    <row r="38" spans="1:4" ht="32.1" customHeight="1">
      <c r="A38" s="12" t="s">
        <v>528</v>
      </c>
      <c r="B38" s="12" t="s">
        <v>529</v>
      </c>
      <c r="C38" s="13">
        <v>524807</v>
      </c>
      <c r="D38" s="12" t="s">
        <v>361</v>
      </c>
    </row>
    <row r="39" spans="1:4" ht="32.1" customHeight="1">
      <c r="A39" s="12" t="s">
        <v>530</v>
      </c>
      <c r="B39" s="12" t="s">
        <v>531</v>
      </c>
      <c r="C39" s="13">
        <v>527334</v>
      </c>
      <c r="D39" s="12" t="s">
        <v>361</v>
      </c>
    </row>
    <row r="40" spans="1:4" ht="32.1" customHeight="1">
      <c r="A40" s="12" t="s">
        <v>532</v>
      </c>
      <c r="B40" s="12" t="s">
        <v>533</v>
      </c>
      <c r="C40" s="13">
        <v>333920</v>
      </c>
      <c r="D40" s="12" t="s">
        <v>361</v>
      </c>
    </row>
    <row r="41" spans="1:4">
      <c r="A41" s="15"/>
      <c r="B41" s="15"/>
      <c r="C41" s="15"/>
      <c r="D41" s="15"/>
    </row>
    <row r="42" spans="1:4">
      <c r="A42" s="15"/>
      <c r="B42" s="15"/>
      <c r="C42" s="15"/>
      <c r="D42" s="15"/>
    </row>
    <row r="43" spans="1:4" ht="24.95" customHeight="1">
      <c r="A43" s="16" t="s">
        <v>534</v>
      </c>
      <c r="B43" s="16"/>
      <c r="C43" s="16"/>
      <c r="D43" s="16"/>
    </row>
    <row r="44" spans="1:4">
      <c r="A44" s="6" t="s">
        <v>5</v>
      </c>
      <c r="B44" s="7" t="s">
        <v>535</v>
      </c>
      <c r="C44" s="7" t="s">
        <v>536</v>
      </c>
      <c r="D44" s="8" t="s">
        <v>537</v>
      </c>
    </row>
    <row r="45" spans="1:4" ht="24" customHeight="1">
      <c r="A45" s="15" t="s">
        <v>538</v>
      </c>
      <c r="B45" s="15" t="s">
        <v>425</v>
      </c>
      <c r="C45" s="17">
        <v>1362652</v>
      </c>
      <c r="D45" s="17">
        <v>1335342</v>
      </c>
    </row>
    <row r="46" spans="1:4" ht="24" customHeight="1">
      <c r="A46" s="15" t="s">
        <v>538</v>
      </c>
      <c r="B46" s="15" t="s">
        <v>539</v>
      </c>
      <c r="C46" s="17">
        <v>11173</v>
      </c>
      <c r="D46" s="17">
        <v>11037</v>
      </c>
    </row>
    <row r="47" spans="1:4" ht="24" customHeight="1">
      <c r="A47" s="15" t="s">
        <v>538</v>
      </c>
      <c r="B47" s="15" t="s">
        <v>447</v>
      </c>
      <c r="C47" s="17">
        <v>9696</v>
      </c>
      <c r="D47" s="17">
        <v>9518</v>
      </c>
    </row>
    <row r="48" spans="1:4" ht="24" customHeight="1">
      <c r="A48" s="15" t="s">
        <v>538</v>
      </c>
      <c r="B48" s="15" t="s">
        <v>455</v>
      </c>
      <c r="C48" s="17">
        <v>2252</v>
      </c>
      <c r="D48" s="17">
        <v>2252</v>
      </c>
    </row>
    <row r="49" spans="1:4" ht="24" customHeight="1">
      <c r="A49" s="15" t="s">
        <v>538</v>
      </c>
      <c r="B49" s="15" t="s">
        <v>452</v>
      </c>
      <c r="C49" s="17">
        <v>166</v>
      </c>
      <c r="D49" s="17">
        <v>126</v>
      </c>
    </row>
    <row r="50" spans="1:4" ht="24" customHeight="1">
      <c r="A50" s="15" t="s">
        <v>538</v>
      </c>
      <c r="B50" s="15" t="s">
        <v>540</v>
      </c>
      <c r="C50" s="17">
        <v>50</v>
      </c>
      <c r="D50" s="17">
        <v>50</v>
      </c>
    </row>
    <row r="51" spans="1:4" ht="24" customHeight="1">
      <c r="A51" s="15" t="s">
        <v>538</v>
      </c>
      <c r="B51" s="15" t="s">
        <v>541</v>
      </c>
      <c r="C51" s="17">
        <v>26</v>
      </c>
      <c r="D51" s="17">
        <v>26</v>
      </c>
    </row>
    <row r="52" spans="1:4" ht="24" customHeight="1">
      <c r="A52" s="15" t="s">
        <v>538</v>
      </c>
      <c r="B52" s="15" t="s">
        <v>542</v>
      </c>
      <c r="C52" s="17">
        <v>15</v>
      </c>
      <c r="D52" s="17">
        <v>15</v>
      </c>
    </row>
    <row r="53" spans="1:4" ht="24" customHeight="1">
      <c r="A53" s="15" t="s">
        <v>538</v>
      </c>
      <c r="B53" s="15" t="s">
        <v>543</v>
      </c>
      <c r="C53" s="17">
        <v>11</v>
      </c>
      <c r="D53" s="17">
        <v>11</v>
      </c>
    </row>
    <row r="54" spans="1:4" ht="24" customHeight="1">
      <c r="A54" s="15" t="s">
        <v>538</v>
      </c>
      <c r="B54" s="15" t="s">
        <v>544</v>
      </c>
      <c r="C54" s="17">
        <v>6</v>
      </c>
      <c r="D54" s="17">
        <v>6</v>
      </c>
    </row>
    <row r="55" spans="1:4" ht="24" customHeight="1">
      <c r="A55" s="15" t="s">
        <v>538</v>
      </c>
      <c r="B55" s="15" t="s">
        <v>545</v>
      </c>
      <c r="C55" s="17">
        <v>5</v>
      </c>
      <c r="D55" s="17">
        <v>5</v>
      </c>
    </row>
    <row r="56" spans="1:4" ht="24" customHeight="1">
      <c r="A56" s="15" t="s">
        <v>538</v>
      </c>
      <c r="B56" s="15" t="s">
        <v>546</v>
      </c>
      <c r="C56" s="17">
        <v>3</v>
      </c>
      <c r="D56" s="17">
        <v>3</v>
      </c>
    </row>
    <row r="57" spans="1:4" ht="24" customHeight="1">
      <c r="A57" s="15" t="s">
        <v>538</v>
      </c>
      <c r="B57" s="15" t="s">
        <v>547</v>
      </c>
      <c r="C57" s="17">
        <v>3</v>
      </c>
      <c r="D57" s="17">
        <v>3</v>
      </c>
    </row>
    <row r="58" spans="1:4" ht="24" customHeight="1">
      <c r="A58" s="15" t="s">
        <v>538</v>
      </c>
      <c r="B58" s="15" t="s">
        <v>548</v>
      </c>
      <c r="C58" s="17">
        <v>1</v>
      </c>
      <c r="D58" s="17">
        <v>1</v>
      </c>
    </row>
    <row r="59" spans="1:4" ht="24" customHeight="1">
      <c r="A59" s="15" t="s">
        <v>538</v>
      </c>
      <c r="B59" s="15" t="s">
        <v>549</v>
      </c>
      <c r="C59" s="17">
        <v>1</v>
      </c>
      <c r="D59" s="17">
        <v>1</v>
      </c>
    </row>
    <row r="60" spans="1:4" ht="24" customHeight="1">
      <c r="A60" s="15" t="s">
        <v>538</v>
      </c>
      <c r="B60" s="15" t="s">
        <v>550</v>
      </c>
      <c r="C60" s="17">
        <v>1</v>
      </c>
      <c r="D60" s="17">
        <v>1</v>
      </c>
    </row>
    <row r="61" spans="1:4">
      <c r="A61" s="15"/>
      <c r="B61" s="15"/>
      <c r="C61" s="15"/>
      <c r="D61" s="15"/>
    </row>
    <row r="62" spans="1:4">
      <c r="A62" s="15"/>
      <c r="B62" s="15"/>
      <c r="C62" s="15"/>
      <c r="D62" s="15"/>
    </row>
    <row r="63" spans="1:4" ht="24.95" customHeight="1">
      <c r="A63" s="16" t="s">
        <v>551</v>
      </c>
      <c r="B63" s="16"/>
      <c r="C63" s="16"/>
      <c r="D63" s="16"/>
    </row>
    <row r="64" spans="1:4">
      <c r="A64" s="6" t="s">
        <v>552</v>
      </c>
      <c r="B64" s="7" t="s">
        <v>553</v>
      </c>
      <c r="C64" s="7" t="s">
        <v>554</v>
      </c>
      <c r="D64" s="8" t="s">
        <v>555</v>
      </c>
    </row>
    <row r="65" spans="1:4" ht="23.1" customHeight="1">
      <c r="A65" s="15">
        <v>2024</v>
      </c>
      <c r="B65" s="15" t="s">
        <v>556</v>
      </c>
      <c r="C65" s="18">
        <v>45292</v>
      </c>
      <c r="D65" s="15" t="s">
        <v>557</v>
      </c>
    </row>
    <row r="66" spans="1:4" ht="23.1" customHeight="1">
      <c r="A66" s="15">
        <v>2024</v>
      </c>
      <c r="B66" s="15" t="s">
        <v>558</v>
      </c>
      <c r="C66" s="18">
        <v>45380</v>
      </c>
      <c r="D66" s="15" t="s">
        <v>559</v>
      </c>
    </row>
    <row r="67" spans="1:4" ht="23.1" customHeight="1">
      <c r="A67" s="15">
        <v>2024</v>
      </c>
      <c r="B67" s="15" t="s">
        <v>560</v>
      </c>
      <c r="C67" s="18">
        <v>45382</v>
      </c>
      <c r="D67" s="15" t="s">
        <v>561</v>
      </c>
    </row>
    <row r="68" spans="1:4" ht="23.1" customHeight="1">
      <c r="A68" s="15">
        <v>2024</v>
      </c>
      <c r="B68" s="15" t="s">
        <v>562</v>
      </c>
      <c r="C68" s="18">
        <v>45407</v>
      </c>
      <c r="D68" s="15" t="s">
        <v>563</v>
      </c>
    </row>
    <row r="69" spans="1:4" ht="23.1" customHeight="1">
      <c r="A69" s="15">
        <v>2024</v>
      </c>
      <c r="B69" s="15" t="s">
        <v>564</v>
      </c>
      <c r="C69" s="18">
        <v>45413</v>
      </c>
      <c r="D69" s="15" t="s">
        <v>565</v>
      </c>
    </row>
    <row r="70" spans="1:4" ht="23.1" customHeight="1">
      <c r="A70" s="15">
        <v>2024</v>
      </c>
      <c r="B70" s="15" t="s">
        <v>566</v>
      </c>
      <c r="C70" s="18">
        <v>45442</v>
      </c>
      <c r="D70" s="15" t="s">
        <v>563</v>
      </c>
    </row>
    <row r="71" spans="1:4" ht="23.1" customHeight="1">
      <c r="A71" s="15">
        <v>2024</v>
      </c>
      <c r="B71" s="15" t="s">
        <v>567</v>
      </c>
      <c r="C71" s="18">
        <v>45453</v>
      </c>
      <c r="D71" s="15" t="s">
        <v>557</v>
      </c>
    </row>
    <row r="72" spans="1:4" ht="23.1" customHeight="1">
      <c r="A72" s="15">
        <v>2024</v>
      </c>
      <c r="B72" s="15" t="s">
        <v>568</v>
      </c>
      <c r="C72" s="18">
        <v>45519</v>
      </c>
      <c r="D72" s="15" t="s">
        <v>563</v>
      </c>
    </row>
    <row r="73" spans="1:4" ht="23.1" customHeight="1">
      <c r="A73" s="15">
        <v>2024</v>
      </c>
      <c r="B73" s="15" t="s">
        <v>569</v>
      </c>
      <c r="C73" s="18">
        <v>45570</v>
      </c>
      <c r="D73" s="15" t="s">
        <v>570</v>
      </c>
    </row>
    <row r="74" spans="1:4" ht="23.1" customHeight="1">
      <c r="A74" s="15">
        <v>2024</v>
      </c>
      <c r="B74" s="15" t="s">
        <v>571</v>
      </c>
      <c r="C74" s="18">
        <v>45597</v>
      </c>
      <c r="D74" s="15" t="s">
        <v>559</v>
      </c>
    </row>
    <row r="75" spans="1:4" ht="23.1" customHeight="1">
      <c r="A75" s="15">
        <v>2024</v>
      </c>
      <c r="B75" s="15" t="s">
        <v>572</v>
      </c>
      <c r="C75" s="18">
        <v>45627</v>
      </c>
      <c r="D75" s="15" t="s">
        <v>561</v>
      </c>
    </row>
    <row r="76" spans="1:4" ht="23.1" customHeight="1">
      <c r="A76" s="15">
        <v>2024</v>
      </c>
      <c r="B76" s="15" t="s">
        <v>573</v>
      </c>
      <c r="C76" s="18">
        <v>45634</v>
      </c>
      <c r="D76" s="15" t="s">
        <v>561</v>
      </c>
    </row>
    <row r="77" spans="1:4" ht="23.1" customHeight="1">
      <c r="A77" s="15">
        <v>2024</v>
      </c>
      <c r="B77" s="15" t="s">
        <v>574</v>
      </c>
      <c r="C77" s="18">
        <v>45651</v>
      </c>
      <c r="D77" s="15" t="s">
        <v>565</v>
      </c>
    </row>
    <row r="78" spans="1:4" ht="23.1" customHeight="1">
      <c r="A78" s="15">
        <v>2025</v>
      </c>
      <c r="B78" s="15" t="s">
        <v>556</v>
      </c>
      <c r="C78" s="18">
        <v>45658</v>
      </c>
      <c r="D78" s="15" t="s">
        <v>565</v>
      </c>
    </row>
    <row r="79" spans="1:4" ht="23.1" customHeight="1">
      <c r="A79" s="15">
        <v>2025</v>
      </c>
      <c r="B79" s="15" t="s">
        <v>558</v>
      </c>
      <c r="C79" s="18">
        <v>45765</v>
      </c>
      <c r="D79" s="15" t="s">
        <v>559</v>
      </c>
    </row>
    <row r="80" spans="1:4" ht="23.1" customHeight="1">
      <c r="A80" s="15">
        <v>2025</v>
      </c>
      <c r="B80" s="15" t="s">
        <v>560</v>
      </c>
      <c r="C80" s="18">
        <v>45767</v>
      </c>
      <c r="D80" s="15" t="s">
        <v>561</v>
      </c>
    </row>
    <row r="81" spans="1:4" ht="23.1" customHeight="1">
      <c r="A81" s="15">
        <v>2025</v>
      </c>
      <c r="B81" s="15" t="s">
        <v>562</v>
      </c>
      <c r="C81" s="18">
        <v>45772</v>
      </c>
      <c r="D81" s="15" t="s">
        <v>559</v>
      </c>
    </row>
    <row r="82" spans="1:4" ht="23.1" customHeight="1">
      <c r="A82" s="15">
        <v>2025</v>
      </c>
      <c r="B82" s="15" t="s">
        <v>564</v>
      </c>
      <c r="C82" s="18">
        <v>45778</v>
      </c>
      <c r="D82" s="15" t="s">
        <v>563</v>
      </c>
    </row>
    <row r="83" spans="1:4" ht="23.1" customHeight="1">
      <c r="A83" s="15">
        <v>2025</v>
      </c>
      <c r="B83" s="15" t="s">
        <v>567</v>
      </c>
      <c r="C83" s="18">
        <v>45818</v>
      </c>
      <c r="D83" s="15" t="s">
        <v>575</v>
      </c>
    </row>
    <row r="84" spans="1:4" ht="23.1" customHeight="1">
      <c r="A84" s="15">
        <v>2025</v>
      </c>
      <c r="B84" s="15" t="s">
        <v>566</v>
      </c>
      <c r="C84" s="18">
        <v>45827</v>
      </c>
      <c r="D84" s="15" t="s">
        <v>563</v>
      </c>
    </row>
    <row r="85" spans="1:4" ht="23.1" customHeight="1">
      <c r="A85" s="15">
        <v>2025</v>
      </c>
      <c r="B85" s="15" t="s">
        <v>568</v>
      </c>
      <c r="C85" s="18">
        <v>45884</v>
      </c>
      <c r="D85" s="15" t="s">
        <v>559</v>
      </c>
    </row>
    <row r="86" spans="1:4" ht="23.1" customHeight="1">
      <c r="A86" s="15">
        <v>2025</v>
      </c>
      <c r="B86" s="15" t="s">
        <v>569</v>
      </c>
      <c r="C86" s="18">
        <v>45935</v>
      </c>
      <c r="D86" s="15" t="s">
        <v>561</v>
      </c>
    </row>
    <row r="87" spans="1:4" ht="23.1" customHeight="1">
      <c r="A87" s="15">
        <v>2025</v>
      </c>
      <c r="B87" s="15" t="s">
        <v>571</v>
      </c>
      <c r="C87" s="18">
        <v>45962</v>
      </c>
      <c r="D87" s="15" t="s">
        <v>570</v>
      </c>
    </row>
    <row r="88" spans="1:4" ht="23.1" customHeight="1">
      <c r="A88" s="15">
        <v>2025</v>
      </c>
      <c r="B88" s="15" t="s">
        <v>572</v>
      </c>
      <c r="C88" s="18">
        <v>45992</v>
      </c>
      <c r="D88" s="15" t="s">
        <v>557</v>
      </c>
    </row>
    <row r="89" spans="1:4" ht="23.1" customHeight="1">
      <c r="A89" s="15">
        <v>2025</v>
      </c>
      <c r="B89" s="15" t="s">
        <v>573</v>
      </c>
      <c r="C89" s="18">
        <v>45999</v>
      </c>
      <c r="D89" s="15" t="s">
        <v>557</v>
      </c>
    </row>
    <row r="90" spans="1:4" ht="23.1" customHeight="1">
      <c r="A90" s="15">
        <v>2025</v>
      </c>
      <c r="B90" s="15" t="s">
        <v>574</v>
      </c>
      <c r="C90" s="18">
        <v>46016</v>
      </c>
      <c r="D90" s="15" t="s">
        <v>563</v>
      </c>
    </row>
    <row r="91" spans="1:4" ht="23.1" customHeight="1">
      <c r="A91" s="15">
        <v>2026</v>
      </c>
      <c r="B91" s="15" t="s">
        <v>556</v>
      </c>
      <c r="C91" s="18">
        <v>46023</v>
      </c>
      <c r="D91" s="15" t="s">
        <v>563</v>
      </c>
    </row>
    <row r="92" spans="1:4" ht="23.1" customHeight="1">
      <c r="A92" s="15">
        <v>2026</v>
      </c>
      <c r="B92" s="15" t="s">
        <v>558</v>
      </c>
      <c r="C92" s="18">
        <v>46115</v>
      </c>
      <c r="D92" s="15" t="s">
        <v>559</v>
      </c>
    </row>
    <row r="93" spans="1:4" ht="23.1" customHeight="1">
      <c r="A93" s="15">
        <v>2026</v>
      </c>
      <c r="B93" s="15" t="s">
        <v>560</v>
      </c>
      <c r="C93" s="18">
        <v>46117</v>
      </c>
      <c r="D93" s="15" t="s">
        <v>561</v>
      </c>
    </row>
    <row r="94" spans="1:4" ht="23.1" customHeight="1">
      <c r="A94" s="15">
        <v>2026</v>
      </c>
      <c r="B94" s="15" t="s">
        <v>562</v>
      </c>
      <c r="C94" s="18">
        <v>46137</v>
      </c>
      <c r="D94" s="15" t="s">
        <v>570</v>
      </c>
    </row>
    <row r="95" spans="1:4" ht="23.1" customHeight="1">
      <c r="A95" s="15">
        <v>2026</v>
      </c>
      <c r="B95" s="15" t="s">
        <v>564</v>
      </c>
      <c r="C95" s="18">
        <v>46143</v>
      </c>
      <c r="D95" s="15" t="s">
        <v>559</v>
      </c>
    </row>
    <row r="96" spans="1:4" ht="23.1" customHeight="1">
      <c r="A96" s="15">
        <v>2026</v>
      </c>
      <c r="B96" s="15" t="s">
        <v>566</v>
      </c>
      <c r="C96" s="18">
        <v>46177</v>
      </c>
      <c r="D96" s="15" t="s">
        <v>563</v>
      </c>
    </row>
    <row r="97" spans="1:4" ht="23.1" customHeight="1">
      <c r="A97" s="15">
        <v>2026</v>
      </c>
      <c r="B97" s="15" t="s">
        <v>567</v>
      </c>
      <c r="C97" s="18">
        <v>46183</v>
      </c>
      <c r="D97" s="15" t="s">
        <v>565</v>
      </c>
    </row>
    <row r="98" spans="1:4" ht="23.1" customHeight="1">
      <c r="A98" s="15">
        <v>2026</v>
      </c>
      <c r="B98" s="15" t="s">
        <v>568</v>
      </c>
      <c r="C98" s="18">
        <v>46249</v>
      </c>
      <c r="D98" s="15" t="s">
        <v>570</v>
      </c>
    </row>
    <row r="99" spans="1:4" ht="23.1" customHeight="1">
      <c r="A99" s="15">
        <v>2026</v>
      </c>
      <c r="B99" s="15" t="s">
        <v>569</v>
      </c>
      <c r="C99" s="18">
        <v>46300</v>
      </c>
      <c r="D99" s="15" t="s">
        <v>557</v>
      </c>
    </row>
    <row r="100" spans="1:4" ht="23.1" customHeight="1">
      <c r="A100" s="15">
        <v>2026</v>
      </c>
      <c r="B100" s="15" t="s">
        <v>571</v>
      </c>
      <c r="C100" s="18">
        <v>46327</v>
      </c>
      <c r="D100" s="15" t="s">
        <v>561</v>
      </c>
    </row>
    <row r="101" spans="1:4" ht="23.1" customHeight="1">
      <c r="A101" s="15">
        <v>2026</v>
      </c>
      <c r="B101" s="15" t="s">
        <v>572</v>
      </c>
      <c r="C101" s="18">
        <v>46357</v>
      </c>
      <c r="D101" s="15" t="s">
        <v>575</v>
      </c>
    </row>
    <row r="102" spans="1:4" ht="23.1" customHeight="1">
      <c r="A102" s="15">
        <v>2026</v>
      </c>
      <c r="B102" s="15" t="s">
        <v>573</v>
      </c>
      <c r="C102" s="18">
        <v>46364</v>
      </c>
      <c r="D102" s="15" t="s">
        <v>575</v>
      </c>
    </row>
    <row r="103" spans="1:4" ht="23.1" customHeight="1">
      <c r="A103" s="15">
        <v>2026</v>
      </c>
      <c r="B103" s="15" t="s">
        <v>574</v>
      </c>
      <c r="C103" s="18">
        <v>46381</v>
      </c>
      <c r="D103" s="15" t="s">
        <v>559</v>
      </c>
    </row>
    <row r="104" spans="1:4">
      <c r="A104" s="1"/>
      <c r="B104" s="1"/>
      <c r="C104" s="1"/>
      <c r="D104" s="1"/>
    </row>
    <row r="105" spans="1:4">
      <c r="A105" s="1"/>
      <c r="B105" s="1"/>
      <c r="C105" s="1"/>
      <c r="D105" s="1"/>
    </row>
    <row r="106" spans="1:4">
      <c r="A106" s="1"/>
      <c r="B106" s="1"/>
      <c r="C106" s="1"/>
      <c r="D106" s="1"/>
    </row>
    <row r="107" spans="1:4">
      <c r="A107" s="1"/>
      <c r="B107" s="1"/>
      <c r="C107" s="1"/>
      <c r="D107" s="1"/>
    </row>
    <row r="108" spans="1:4">
      <c r="A108" s="1"/>
      <c r="B108" s="1"/>
      <c r="C108" s="1"/>
      <c r="D108" s="1"/>
    </row>
    <row r="109" spans="1:4">
      <c r="A109" s="1"/>
      <c r="B109" s="1"/>
      <c r="C109" s="1"/>
      <c r="D109" s="1"/>
    </row>
    <row r="110" spans="1:4">
      <c r="A110" s="1"/>
      <c r="B110" s="1"/>
      <c r="C110" s="1"/>
      <c r="D110" s="1"/>
    </row>
    <row r="111" spans="1:4">
      <c r="A111" s="1"/>
      <c r="B111" s="1"/>
      <c r="C111" s="1"/>
      <c r="D111" s="1"/>
    </row>
    <row r="112" spans="1:4">
      <c r="A112" s="1"/>
      <c r="B112" s="1"/>
      <c r="C112" s="1"/>
      <c r="D112" s="1"/>
    </row>
    <row r="113" spans="1:4">
      <c r="A113" s="1"/>
      <c r="B113" s="1"/>
      <c r="C113" s="1"/>
      <c r="D113" s="1"/>
    </row>
    <row r="114" spans="1:4">
      <c r="A114" s="1"/>
      <c r="B114" s="1"/>
      <c r="C114" s="1"/>
      <c r="D114" s="1"/>
    </row>
    <row r="115" spans="1:4">
      <c r="A115" s="1"/>
      <c r="B115" s="1"/>
      <c r="C115" s="1"/>
      <c r="D115" s="1"/>
    </row>
    <row r="116" spans="1:4">
      <c r="A116" s="1"/>
      <c r="B116" s="1"/>
      <c r="C116" s="1"/>
      <c r="D116" s="1"/>
    </row>
    <row r="117" spans="1:4">
      <c r="A117" s="1"/>
      <c r="B117" s="1"/>
      <c r="C117" s="1"/>
      <c r="D117" s="1"/>
    </row>
    <row r="118" spans="1:4">
      <c r="A118" s="1"/>
      <c r="B118" s="1"/>
      <c r="C118" s="1"/>
      <c r="D118" s="1"/>
    </row>
    <row r="119" spans="1:4">
      <c r="A119" s="1"/>
      <c r="B119" s="1"/>
      <c r="C119" s="1"/>
      <c r="D119" s="1"/>
    </row>
    <row r="120" spans="1:4">
      <c r="A120" s="1"/>
      <c r="B120" s="1"/>
      <c r="C120" s="1"/>
      <c r="D120" s="1"/>
    </row>
    <row r="121" spans="1:4">
      <c r="A121" s="1"/>
      <c r="B121" s="1"/>
      <c r="C121" s="1"/>
      <c r="D121" s="1"/>
    </row>
    <row r="122" spans="1:4">
      <c r="A122" s="1"/>
      <c r="B122" s="1"/>
      <c r="C122" s="1"/>
      <c r="D122" s="1"/>
    </row>
    <row r="123" spans="1:4">
      <c r="A123" s="1"/>
      <c r="B123" s="1"/>
      <c r="C123" s="1"/>
      <c r="D123" s="1"/>
    </row>
    <row r="124" spans="1:4">
      <c r="A124" s="1"/>
      <c r="B124" s="1"/>
      <c r="C124" s="1"/>
      <c r="D124" s="1"/>
    </row>
    <row r="125" spans="1:4">
      <c r="A125" s="1"/>
      <c r="B125" s="1"/>
      <c r="C125" s="1"/>
      <c r="D125" s="1"/>
    </row>
    <row r="126" spans="1:4">
      <c r="A126" s="1"/>
      <c r="B126" s="1"/>
      <c r="C126" s="1"/>
      <c r="D126" s="1"/>
    </row>
    <row r="127" spans="1:4">
      <c r="A127" s="1"/>
      <c r="B127" s="1"/>
      <c r="C127" s="1"/>
      <c r="D127" s="1"/>
    </row>
    <row r="128" spans="1:4">
      <c r="A128" s="1"/>
      <c r="B128" s="1"/>
      <c r="C128" s="1"/>
      <c r="D128" s="1"/>
    </row>
    <row r="129" spans="1:4">
      <c r="A129" s="1"/>
      <c r="B129" s="1"/>
      <c r="C129" s="1"/>
      <c r="D129" s="1"/>
    </row>
    <row r="130" spans="1:4">
      <c r="A130" s="1"/>
      <c r="B130" s="1"/>
      <c r="C130" s="1"/>
      <c r="D130" s="1"/>
    </row>
    <row r="131" spans="1:4">
      <c r="A131" s="1"/>
      <c r="B131" s="1"/>
      <c r="C131" s="1"/>
      <c r="D131" s="1"/>
    </row>
    <row r="132" spans="1:4">
      <c r="A132" s="1"/>
      <c r="B132" s="1"/>
      <c r="C132" s="1"/>
      <c r="D132" s="1"/>
    </row>
    <row r="133" spans="1:4">
      <c r="A133" s="1"/>
      <c r="B133" s="1"/>
      <c r="C133" s="1"/>
      <c r="D133" s="1"/>
    </row>
    <row r="134" spans="1:4">
      <c r="A134" s="1"/>
      <c r="B134" s="1"/>
      <c r="C134" s="1"/>
      <c r="D134" s="1"/>
    </row>
    <row r="135" spans="1:4">
      <c r="A135" s="1"/>
      <c r="B135" s="1"/>
      <c r="C135" s="1"/>
      <c r="D135" s="1"/>
    </row>
    <row r="136" spans="1:4">
      <c r="A136" s="1"/>
      <c r="B136" s="1"/>
      <c r="C136" s="1"/>
      <c r="D136" s="1"/>
    </row>
    <row r="137" spans="1:4">
      <c r="A137" s="1"/>
      <c r="B137" s="1"/>
      <c r="C137" s="1"/>
      <c r="D137" s="1"/>
    </row>
    <row r="138" spans="1:4">
      <c r="A138" s="1"/>
      <c r="B138" s="1"/>
      <c r="C138" s="1"/>
      <c r="D138" s="1"/>
    </row>
    <row r="139" spans="1:4">
      <c r="A139" s="1"/>
      <c r="B139" s="1"/>
      <c r="C139" s="1"/>
      <c r="D139" s="1"/>
    </row>
    <row r="140" spans="1:4">
      <c r="A140" s="1"/>
      <c r="B140" s="1"/>
      <c r="C140" s="1"/>
      <c r="D140" s="1"/>
    </row>
    <row r="141" spans="1:4">
      <c r="A141" s="1"/>
      <c r="B141" s="1"/>
      <c r="C141" s="1"/>
      <c r="D141" s="1"/>
    </row>
    <row r="142" spans="1:4">
      <c r="A142" s="1"/>
      <c r="B142" s="1"/>
      <c r="C142" s="1"/>
      <c r="D142" s="1"/>
    </row>
    <row r="143" spans="1:4">
      <c r="A143" s="1"/>
      <c r="B143" s="1"/>
      <c r="C143" s="1"/>
      <c r="D143" s="1"/>
    </row>
    <row r="144" spans="1:4">
      <c r="A144" s="1"/>
      <c r="B144" s="1"/>
      <c r="C144" s="1"/>
      <c r="D144" s="1"/>
    </row>
    <row r="145" spans="1:4">
      <c r="A145" s="1"/>
      <c r="B145" s="1"/>
      <c r="C145" s="1"/>
      <c r="D145" s="1"/>
    </row>
    <row r="146" spans="1:4">
      <c r="A146" s="1"/>
      <c r="B146" s="1"/>
      <c r="C146" s="1"/>
      <c r="D146" s="1"/>
    </row>
    <row r="147" spans="1:4">
      <c r="A147" s="1"/>
      <c r="B147" s="1"/>
      <c r="C147" s="1"/>
      <c r="D147" s="1"/>
    </row>
    <row r="148" spans="1:4">
      <c r="A148" s="1"/>
      <c r="B148" s="1"/>
      <c r="C148" s="1"/>
      <c r="D148" s="1"/>
    </row>
    <row r="149" spans="1:4">
      <c r="A149" s="1"/>
      <c r="B149" s="1"/>
      <c r="C149" s="1"/>
      <c r="D149" s="1"/>
    </row>
    <row r="150" spans="1:4">
      <c r="A150" s="1"/>
      <c r="B150" s="1"/>
      <c r="C150" s="1"/>
      <c r="D150" s="1"/>
    </row>
  </sheetData>
  <conditionalFormatting sqref="C35">
    <cfRule type="cellIs" dxfId="0" priority="1"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0"/>
  <sheetViews>
    <sheetView showGridLines="0" tabSelected="1" zoomScale="70" zoomScaleNormal="70" workbookViewId="0">
      <pane xSplit="3" ySplit="6" topLeftCell="D12" activePane="bottomRight" state="frozen"/>
      <selection pane="topRight"/>
      <selection pane="bottomLeft"/>
      <selection pane="bottomRight" activeCell="C15" sqref="C15"/>
    </sheetView>
  </sheetViews>
  <sheetFormatPr defaultRowHeight="14.25"/>
  <cols>
    <col min="1" max="1" width="9" customWidth="1"/>
    <col min="2" max="2" width="27" customWidth="1"/>
    <col min="3" max="3" width="65" customWidth="1"/>
    <col min="4" max="4" width="78" customWidth="1"/>
    <col min="5" max="5" width="78" hidden="1" customWidth="1"/>
    <col min="6" max="7" width="88" hidden="1" customWidth="1"/>
    <col min="8" max="8" width="78" customWidth="1"/>
    <col min="9" max="9" width="78" hidden="1" customWidth="1"/>
    <col min="10" max="10" width="18" customWidth="1"/>
    <col min="11" max="11" width="14" customWidth="1"/>
    <col min="12" max="12" width="28.625" customWidth="1"/>
  </cols>
  <sheetData>
    <row r="1" spans="1:12">
      <c r="A1" s="59"/>
      <c r="B1" s="59"/>
      <c r="C1" s="59"/>
      <c r="D1" s="59"/>
      <c r="E1" s="59"/>
      <c r="F1" s="59"/>
      <c r="G1" s="59"/>
      <c r="H1" s="59"/>
      <c r="I1" s="59"/>
      <c r="J1" s="59"/>
      <c r="K1" s="59"/>
    </row>
    <row r="2" spans="1:12" ht="18">
      <c r="A2" s="60" t="s">
        <v>576</v>
      </c>
      <c r="B2" s="59"/>
      <c r="C2" s="59"/>
      <c r="D2" s="59"/>
      <c r="E2" s="59"/>
      <c r="F2" s="59"/>
      <c r="G2" s="59"/>
      <c r="H2" s="59"/>
      <c r="I2" s="59"/>
      <c r="J2" s="59"/>
      <c r="K2" s="59"/>
    </row>
    <row r="3" spans="1:12">
      <c r="A3" s="59" t="s">
        <v>577</v>
      </c>
      <c r="B3" s="59"/>
      <c r="C3" s="59"/>
      <c r="D3" s="59"/>
      <c r="E3" s="59"/>
      <c r="F3" s="59"/>
      <c r="G3" s="59"/>
      <c r="H3" s="59"/>
      <c r="I3" s="59"/>
      <c r="J3" s="59"/>
      <c r="K3" s="59"/>
    </row>
    <row r="4" spans="1:12">
      <c r="A4" s="59" t="s">
        <v>578</v>
      </c>
      <c r="B4" s="59"/>
      <c r="C4" s="59"/>
      <c r="D4" s="59"/>
      <c r="E4" s="59"/>
      <c r="F4" s="59"/>
      <c r="G4" s="59"/>
      <c r="H4" s="59"/>
      <c r="I4" s="59"/>
      <c r="J4" s="59"/>
      <c r="K4" s="59"/>
    </row>
    <row r="5" spans="1:12">
      <c r="A5" s="59" t="s">
        <v>579</v>
      </c>
      <c r="B5" s="59"/>
      <c r="C5" s="59"/>
      <c r="D5" s="59"/>
      <c r="E5" s="59"/>
      <c r="F5" s="59"/>
      <c r="G5" s="59"/>
      <c r="H5" s="59"/>
      <c r="I5" s="59"/>
      <c r="J5" s="59"/>
      <c r="K5" s="59"/>
    </row>
    <row r="6" spans="1:12" ht="32.1" customHeight="1">
      <c r="A6" s="64" t="s">
        <v>3</v>
      </c>
      <c r="B6" s="64" t="s">
        <v>4</v>
      </c>
      <c r="C6" s="64" t="s">
        <v>580</v>
      </c>
      <c r="D6" s="64" t="s">
        <v>6</v>
      </c>
      <c r="E6" s="64" t="s">
        <v>581</v>
      </c>
      <c r="F6" s="64" t="s">
        <v>582</v>
      </c>
      <c r="G6" s="64" t="s">
        <v>583</v>
      </c>
      <c r="H6" s="64" t="s">
        <v>584</v>
      </c>
      <c r="I6" s="64" t="s">
        <v>585</v>
      </c>
      <c r="J6" s="64" t="s">
        <v>586</v>
      </c>
      <c r="K6" s="64" t="s">
        <v>11</v>
      </c>
      <c r="L6" t="s">
        <v>848</v>
      </c>
    </row>
    <row r="7" spans="1:12" ht="66" customHeight="1">
      <c r="A7" s="62" t="s">
        <v>587</v>
      </c>
      <c r="B7" s="62" t="s">
        <v>588</v>
      </c>
      <c r="C7" s="62" t="s">
        <v>589</v>
      </c>
      <c r="D7" s="62" t="s">
        <v>590</v>
      </c>
      <c r="E7" s="62" t="s">
        <v>591</v>
      </c>
      <c r="F7" s="62" t="s">
        <v>592</v>
      </c>
      <c r="G7" s="62" t="s">
        <v>593</v>
      </c>
      <c r="H7" s="62" t="s">
        <v>594</v>
      </c>
      <c r="I7" s="62" t="s">
        <v>595</v>
      </c>
      <c r="J7" s="63"/>
      <c r="K7" s="61"/>
      <c r="L7" s="88" t="s">
        <v>867</v>
      </c>
    </row>
    <row r="8" spans="1:12" ht="66" customHeight="1">
      <c r="A8" s="62" t="s">
        <v>596</v>
      </c>
      <c r="B8" s="62" t="s">
        <v>597</v>
      </c>
      <c r="C8" s="62" t="s">
        <v>589</v>
      </c>
      <c r="D8" s="62" t="s">
        <v>598</v>
      </c>
      <c r="E8" s="62" t="s">
        <v>599</v>
      </c>
      <c r="F8" s="62" t="s">
        <v>600</v>
      </c>
      <c r="G8" s="62" t="s">
        <v>601</v>
      </c>
      <c r="H8" s="62" t="s">
        <v>602</v>
      </c>
      <c r="I8" s="62" t="s">
        <v>603</v>
      </c>
      <c r="J8" s="63"/>
      <c r="K8" s="61"/>
      <c r="L8" s="88" t="s">
        <v>868</v>
      </c>
    </row>
    <row r="9" spans="1:12" ht="30" customHeight="1">
      <c r="A9" s="62" t="s">
        <v>604</v>
      </c>
      <c r="B9" s="62" t="s">
        <v>605</v>
      </c>
      <c r="C9" s="62" t="s">
        <v>606</v>
      </c>
      <c r="D9" s="62" t="s">
        <v>607</v>
      </c>
      <c r="E9" s="62" t="s">
        <v>608</v>
      </c>
      <c r="F9" s="62" t="s">
        <v>609</v>
      </c>
      <c r="G9" s="62" t="s">
        <v>610</v>
      </c>
      <c r="H9" s="62" t="s">
        <v>611</v>
      </c>
      <c r="I9" s="62" t="s">
        <v>612</v>
      </c>
      <c r="J9" s="63"/>
      <c r="K9" s="61"/>
      <c r="L9" s="88" t="s">
        <v>869</v>
      </c>
    </row>
    <row r="10" spans="1:12" ht="66" customHeight="1">
      <c r="A10" s="62" t="s">
        <v>613</v>
      </c>
      <c r="B10" s="62" t="s">
        <v>614</v>
      </c>
      <c r="C10" s="62" t="s">
        <v>589</v>
      </c>
      <c r="D10" s="62" t="s">
        <v>615</v>
      </c>
      <c r="E10" s="62" t="s">
        <v>616</v>
      </c>
      <c r="F10" s="62" t="s">
        <v>617</v>
      </c>
      <c r="G10" s="62" t="s">
        <v>618</v>
      </c>
      <c r="H10" s="62" t="s">
        <v>619</v>
      </c>
      <c r="I10" s="62" t="s">
        <v>620</v>
      </c>
      <c r="J10" s="63"/>
      <c r="K10" s="61"/>
      <c r="L10" s="88" t="s">
        <v>870</v>
      </c>
    </row>
    <row r="11" spans="1:12" ht="78" customHeight="1">
      <c r="A11" s="62" t="s">
        <v>621</v>
      </c>
      <c r="B11" s="62" t="s">
        <v>622</v>
      </c>
      <c r="C11" s="62" t="s">
        <v>623</v>
      </c>
      <c r="D11" s="62" t="s">
        <v>624</v>
      </c>
      <c r="E11" s="62" t="s">
        <v>625</v>
      </c>
      <c r="F11" s="62" t="s">
        <v>626</v>
      </c>
      <c r="G11" s="62" t="s">
        <v>627</v>
      </c>
      <c r="H11" s="62" t="s">
        <v>628</v>
      </c>
      <c r="I11" s="62" t="s">
        <v>629</v>
      </c>
      <c r="J11" s="63"/>
      <c r="K11" s="61"/>
      <c r="L11" s="88" t="s">
        <v>871</v>
      </c>
    </row>
    <row r="12" spans="1:12" ht="78" customHeight="1">
      <c r="A12" s="62" t="s">
        <v>630</v>
      </c>
      <c r="B12" s="62" t="s">
        <v>631</v>
      </c>
      <c r="C12" s="62" t="s">
        <v>632</v>
      </c>
      <c r="D12" s="62" t="s">
        <v>633</v>
      </c>
      <c r="E12" s="62" t="s">
        <v>634</v>
      </c>
      <c r="F12" s="62" t="s">
        <v>635</v>
      </c>
      <c r="G12" s="62" t="s">
        <v>636</v>
      </c>
      <c r="H12" s="62" t="s">
        <v>637</v>
      </c>
      <c r="I12" s="62" t="s">
        <v>638</v>
      </c>
      <c r="J12" s="63"/>
      <c r="K12" s="61"/>
      <c r="L12" s="88" t="s">
        <v>849</v>
      </c>
    </row>
    <row r="13" spans="1:12" ht="66" customHeight="1">
      <c r="A13" s="62" t="s">
        <v>639</v>
      </c>
      <c r="B13" s="62" t="s">
        <v>640</v>
      </c>
      <c r="C13" s="62" t="s">
        <v>589</v>
      </c>
      <c r="D13" s="62" t="s">
        <v>641</v>
      </c>
      <c r="E13" s="62" t="s">
        <v>642</v>
      </c>
      <c r="F13" s="62" t="s">
        <v>643</v>
      </c>
      <c r="G13" s="62" t="s">
        <v>644</v>
      </c>
      <c r="H13" s="62" t="s">
        <v>645</v>
      </c>
      <c r="I13" s="62" t="s">
        <v>646</v>
      </c>
      <c r="J13" s="63">
        <v>35913</v>
      </c>
      <c r="K13" s="61" t="s">
        <v>19</v>
      </c>
      <c r="L13" s="88" t="s">
        <v>850</v>
      </c>
    </row>
    <row r="14" spans="1:12" ht="66" customHeight="1">
      <c r="A14" s="62" t="s">
        <v>647</v>
      </c>
      <c r="B14" s="62" t="s">
        <v>648</v>
      </c>
      <c r="C14" s="62" t="s">
        <v>589</v>
      </c>
      <c r="D14" s="62" t="s">
        <v>649</v>
      </c>
      <c r="E14" s="62" t="s">
        <v>650</v>
      </c>
      <c r="F14" s="62" t="s">
        <v>651</v>
      </c>
      <c r="G14" s="62" t="s">
        <v>652</v>
      </c>
      <c r="H14" s="62" t="s">
        <v>653</v>
      </c>
      <c r="I14" s="62" t="s">
        <v>654</v>
      </c>
      <c r="J14" s="63">
        <v>36148</v>
      </c>
      <c r="K14" s="61" t="s">
        <v>19</v>
      </c>
      <c r="L14" s="88" t="s">
        <v>851</v>
      </c>
    </row>
    <row r="15" spans="1:12" ht="66" customHeight="1">
      <c r="A15" s="93" t="s">
        <v>655</v>
      </c>
      <c r="B15" s="93" t="s">
        <v>656</v>
      </c>
      <c r="C15" s="93" t="s">
        <v>589</v>
      </c>
      <c r="D15" s="93" t="s">
        <v>657</v>
      </c>
      <c r="E15" s="93" t="s">
        <v>658</v>
      </c>
      <c r="F15" s="93" t="s">
        <v>659</v>
      </c>
      <c r="G15" s="93" t="s">
        <v>660</v>
      </c>
      <c r="H15" s="93" t="s">
        <v>661</v>
      </c>
      <c r="I15" s="93" t="s">
        <v>662</v>
      </c>
      <c r="J15" s="94">
        <v>36359</v>
      </c>
      <c r="K15" s="95" t="s">
        <v>19</v>
      </c>
      <c r="L15" s="96" t="s">
        <v>852</v>
      </c>
    </row>
    <row r="16" spans="1:12" ht="90" customHeight="1">
      <c r="A16" s="62" t="s">
        <v>663</v>
      </c>
      <c r="B16" s="62" t="s">
        <v>664</v>
      </c>
      <c r="C16" s="62" t="s">
        <v>665</v>
      </c>
      <c r="D16" s="62" t="s">
        <v>666</v>
      </c>
      <c r="E16" s="62" t="s">
        <v>667</v>
      </c>
      <c r="F16" s="62" t="s">
        <v>668</v>
      </c>
      <c r="G16" s="62" t="s">
        <v>669</v>
      </c>
      <c r="H16" s="62" t="s">
        <v>670</v>
      </c>
      <c r="I16" s="62" t="s">
        <v>671</v>
      </c>
      <c r="J16" s="63">
        <v>235</v>
      </c>
      <c r="K16" s="61" t="s">
        <v>19</v>
      </c>
      <c r="L16" s="88" t="s">
        <v>853</v>
      </c>
    </row>
    <row r="17" spans="1:12" ht="90" customHeight="1">
      <c r="A17" s="62" t="s">
        <v>672</v>
      </c>
      <c r="B17" s="62" t="s">
        <v>673</v>
      </c>
      <c r="C17" s="62" t="s">
        <v>674</v>
      </c>
      <c r="D17" s="62" t="s">
        <v>675</v>
      </c>
      <c r="E17" s="62" t="s">
        <v>676</v>
      </c>
      <c r="F17" s="62" t="s">
        <v>677</v>
      </c>
      <c r="G17" s="62" t="s">
        <v>678</v>
      </c>
      <c r="H17" s="62" t="s">
        <v>679</v>
      </c>
      <c r="I17" s="62" t="s">
        <v>680</v>
      </c>
      <c r="J17" s="63">
        <v>37028</v>
      </c>
      <c r="K17" s="61" t="s">
        <v>19</v>
      </c>
      <c r="L17" t="s">
        <v>854</v>
      </c>
    </row>
    <row r="18" spans="1:12" ht="90" customHeight="1">
      <c r="A18" s="62" t="s">
        <v>681</v>
      </c>
      <c r="B18" s="62" t="s">
        <v>682</v>
      </c>
      <c r="C18" s="62" t="s">
        <v>683</v>
      </c>
      <c r="D18" s="62" t="s">
        <v>684</v>
      </c>
      <c r="E18" s="62" t="s">
        <v>685</v>
      </c>
      <c r="F18" s="62" t="s">
        <v>686</v>
      </c>
      <c r="G18" s="62" t="s">
        <v>687</v>
      </c>
      <c r="H18" s="62" t="s">
        <v>688</v>
      </c>
      <c r="I18" s="62" t="s">
        <v>654</v>
      </c>
      <c r="J18" s="63">
        <v>36148</v>
      </c>
      <c r="K18" s="61" t="s">
        <v>19</v>
      </c>
      <c r="L18" t="s">
        <v>855</v>
      </c>
    </row>
    <row r="19" spans="1:12" ht="78" customHeight="1">
      <c r="A19" s="62" t="s">
        <v>689</v>
      </c>
      <c r="B19" s="62" t="s">
        <v>690</v>
      </c>
      <c r="C19" s="62" t="s">
        <v>691</v>
      </c>
      <c r="D19" s="62" t="s">
        <v>692</v>
      </c>
      <c r="E19" s="62" t="s">
        <v>693</v>
      </c>
      <c r="F19" s="62" t="s">
        <v>694</v>
      </c>
      <c r="G19" s="62" t="s">
        <v>695</v>
      </c>
      <c r="H19" s="62" t="s">
        <v>696</v>
      </c>
      <c r="I19" s="62" t="s">
        <v>697</v>
      </c>
      <c r="J19" s="63">
        <v>235</v>
      </c>
      <c r="K19" s="61" t="s">
        <v>19</v>
      </c>
      <c r="L19" t="s">
        <v>856</v>
      </c>
    </row>
    <row r="20" spans="1:12" ht="66" customHeight="1">
      <c r="A20" s="62" t="s">
        <v>698</v>
      </c>
      <c r="B20" s="62" t="s">
        <v>699</v>
      </c>
      <c r="C20" s="62" t="s">
        <v>589</v>
      </c>
      <c r="D20" s="62" t="s">
        <v>700</v>
      </c>
      <c r="E20" s="62" t="s">
        <v>701</v>
      </c>
      <c r="F20" s="62" t="s">
        <v>702</v>
      </c>
      <c r="G20" s="62" t="s">
        <v>703</v>
      </c>
      <c r="H20" s="62" t="s">
        <v>704</v>
      </c>
      <c r="I20" s="62" t="s">
        <v>705</v>
      </c>
      <c r="J20" s="63">
        <v>0</v>
      </c>
      <c r="K20" s="61" t="s">
        <v>19</v>
      </c>
      <c r="L20" s="88" t="s">
        <v>857</v>
      </c>
    </row>
    <row r="21" spans="1:12" ht="66" customHeight="1">
      <c r="A21" s="62" t="s">
        <v>706</v>
      </c>
      <c r="B21" s="62" t="s">
        <v>707</v>
      </c>
      <c r="C21" s="62" t="s">
        <v>589</v>
      </c>
      <c r="D21" s="62" t="s">
        <v>708</v>
      </c>
      <c r="E21" s="62" t="s">
        <v>709</v>
      </c>
      <c r="F21" s="62" t="s">
        <v>710</v>
      </c>
      <c r="G21" s="62" t="s">
        <v>711</v>
      </c>
      <c r="H21" s="62" t="s">
        <v>712</v>
      </c>
      <c r="I21" s="62" t="s">
        <v>713</v>
      </c>
      <c r="J21" s="63"/>
      <c r="K21" s="61"/>
      <c r="L21" s="88" t="s">
        <v>858</v>
      </c>
    </row>
    <row r="22" spans="1:12" ht="66" customHeight="1">
      <c r="A22" s="62" t="s">
        <v>714</v>
      </c>
      <c r="B22" s="62" t="s">
        <v>715</v>
      </c>
      <c r="C22" s="62" t="s">
        <v>589</v>
      </c>
      <c r="D22" s="62" t="s">
        <v>716</v>
      </c>
      <c r="E22" s="62" t="s">
        <v>717</v>
      </c>
      <c r="F22" s="62" t="s">
        <v>718</v>
      </c>
      <c r="G22" s="62" t="s">
        <v>719</v>
      </c>
      <c r="H22" s="62" t="s">
        <v>720</v>
      </c>
      <c r="I22" s="62" t="s">
        <v>721</v>
      </c>
      <c r="J22" s="63"/>
      <c r="K22" s="61"/>
      <c r="L22" s="88" t="s">
        <v>859</v>
      </c>
    </row>
    <row r="23" spans="1:12" ht="78" customHeight="1">
      <c r="A23" s="62" t="s">
        <v>722</v>
      </c>
      <c r="B23" s="62" t="s">
        <v>723</v>
      </c>
      <c r="C23" s="62" t="s">
        <v>724</v>
      </c>
      <c r="D23" s="89" t="s">
        <v>725</v>
      </c>
      <c r="E23" s="62" t="s">
        <v>726</v>
      </c>
      <c r="F23" s="62" t="s">
        <v>727</v>
      </c>
      <c r="G23" s="62" t="s">
        <v>728</v>
      </c>
      <c r="H23" s="62" t="s">
        <v>729</v>
      </c>
      <c r="I23" s="62" t="s">
        <v>730</v>
      </c>
      <c r="J23" s="63">
        <v>1076</v>
      </c>
      <c r="K23" s="61" t="s">
        <v>19</v>
      </c>
      <c r="L23" s="88" t="s">
        <v>860</v>
      </c>
    </row>
    <row r="24" spans="1:12" ht="30" customHeight="1">
      <c r="A24" s="62" t="s">
        <v>731</v>
      </c>
      <c r="B24" s="62" t="s">
        <v>732</v>
      </c>
      <c r="C24" s="62" t="s">
        <v>733</v>
      </c>
      <c r="D24" s="62" t="s">
        <v>734</v>
      </c>
      <c r="E24" s="62" t="s">
        <v>735</v>
      </c>
      <c r="F24" s="62" t="s">
        <v>736</v>
      </c>
      <c r="G24" s="62" t="s">
        <v>737</v>
      </c>
      <c r="H24" s="62" t="s">
        <v>738</v>
      </c>
      <c r="I24" s="62" t="s">
        <v>739</v>
      </c>
      <c r="J24" s="63"/>
      <c r="K24" s="61"/>
      <c r="L24" t="s">
        <v>861</v>
      </c>
    </row>
    <row r="25" spans="1:12" ht="42" customHeight="1">
      <c r="A25" s="62" t="s">
        <v>740</v>
      </c>
      <c r="B25" s="62" t="s">
        <v>741</v>
      </c>
      <c r="C25" s="62" t="s">
        <v>742</v>
      </c>
      <c r="D25" s="62" t="s">
        <v>743</v>
      </c>
      <c r="E25" s="62" t="s">
        <v>744</v>
      </c>
      <c r="F25" s="62" t="s">
        <v>745</v>
      </c>
      <c r="G25" s="62" t="s">
        <v>746</v>
      </c>
      <c r="H25" s="62" t="s">
        <v>747</v>
      </c>
      <c r="I25" s="62" t="s">
        <v>748</v>
      </c>
      <c r="J25" s="63"/>
      <c r="K25" s="61"/>
      <c r="L25" t="s">
        <v>861</v>
      </c>
    </row>
    <row r="26" spans="1:12" ht="66" customHeight="1">
      <c r="A26" s="62" t="s">
        <v>749</v>
      </c>
      <c r="B26" s="62" t="s">
        <v>750</v>
      </c>
      <c r="C26" s="62" t="s">
        <v>589</v>
      </c>
      <c r="D26" s="89" t="s">
        <v>751</v>
      </c>
      <c r="E26" s="62" t="s">
        <v>752</v>
      </c>
      <c r="F26" s="62" t="s">
        <v>753</v>
      </c>
      <c r="G26" s="62" t="s">
        <v>754</v>
      </c>
      <c r="H26" s="62" t="s">
        <v>755</v>
      </c>
      <c r="I26" s="62" t="s">
        <v>756</v>
      </c>
      <c r="J26" s="63">
        <v>1</v>
      </c>
      <c r="K26" s="61" t="s">
        <v>757</v>
      </c>
      <c r="L26" s="88" t="s">
        <v>862</v>
      </c>
    </row>
    <row r="27" spans="1:12" ht="66" customHeight="1">
      <c r="A27" s="62" t="s">
        <v>758</v>
      </c>
      <c r="B27" s="62" t="s">
        <v>759</v>
      </c>
      <c r="C27" s="62" t="s">
        <v>589</v>
      </c>
      <c r="D27" s="62" t="s">
        <v>760</v>
      </c>
      <c r="E27" s="62" t="s">
        <v>761</v>
      </c>
      <c r="F27" s="62" t="s">
        <v>762</v>
      </c>
      <c r="G27" s="62" t="s">
        <v>763</v>
      </c>
      <c r="H27" s="62" t="s">
        <v>764</v>
      </c>
      <c r="I27" s="62" t="s">
        <v>765</v>
      </c>
      <c r="J27" s="63">
        <v>1</v>
      </c>
      <c r="K27" s="61" t="s">
        <v>766</v>
      </c>
      <c r="L27" s="88" t="s">
        <v>863</v>
      </c>
    </row>
    <row r="28" spans="1:12" ht="66" customHeight="1">
      <c r="A28" s="62" t="s">
        <v>767</v>
      </c>
      <c r="B28" s="62" t="s">
        <v>768</v>
      </c>
      <c r="C28" s="62" t="s">
        <v>589</v>
      </c>
      <c r="D28" s="62" t="s">
        <v>769</v>
      </c>
      <c r="E28" s="62" t="s">
        <v>770</v>
      </c>
      <c r="F28" s="62" t="s">
        <v>771</v>
      </c>
      <c r="G28" s="62" t="s">
        <v>772</v>
      </c>
      <c r="H28" s="62" t="s">
        <v>773</v>
      </c>
      <c r="I28" s="62" t="s">
        <v>774</v>
      </c>
      <c r="J28" s="63"/>
      <c r="K28" s="61"/>
      <c r="L28" s="88" t="s">
        <v>864</v>
      </c>
    </row>
    <row r="29" spans="1:12" ht="66" customHeight="1">
      <c r="A29" s="62" t="s">
        <v>775</v>
      </c>
      <c r="B29" s="62" t="s">
        <v>776</v>
      </c>
      <c r="C29" s="62" t="s">
        <v>589</v>
      </c>
      <c r="D29" s="62" t="s">
        <v>777</v>
      </c>
      <c r="E29" s="62" t="s">
        <v>778</v>
      </c>
      <c r="F29" s="62" t="s">
        <v>779</v>
      </c>
      <c r="G29" s="62" t="s">
        <v>780</v>
      </c>
      <c r="H29" s="62" t="s">
        <v>781</v>
      </c>
      <c r="I29" s="62" t="s">
        <v>782</v>
      </c>
      <c r="J29" s="63"/>
      <c r="K29" s="61"/>
      <c r="L29" s="88" t="s">
        <v>865</v>
      </c>
    </row>
    <row r="30" spans="1:12" ht="78" customHeight="1">
      <c r="A30" s="62" t="s">
        <v>783</v>
      </c>
      <c r="B30" s="62" t="s">
        <v>784</v>
      </c>
      <c r="C30" s="62" t="s">
        <v>785</v>
      </c>
      <c r="D30" s="62" t="s">
        <v>786</v>
      </c>
      <c r="E30" s="62" t="s">
        <v>787</v>
      </c>
      <c r="F30" s="62" t="s">
        <v>788</v>
      </c>
      <c r="G30" s="62" t="s">
        <v>789</v>
      </c>
      <c r="H30" s="62" t="s">
        <v>790</v>
      </c>
      <c r="I30" s="62" t="s">
        <v>791</v>
      </c>
      <c r="J30" s="63"/>
      <c r="K30" s="61"/>
      <c r="L30" t="s">
        <v>866</v>
      </c>
    </row>
    <row r="31" spans="1:12">
      <c r="A31" s="59"/>
      <c r="B31" s="59"/>
      <c r="C31" s="59"/>
      <c r="D31" s="59"/>
      <c r="E31" s="59"/>
      <c r="F31" s="59"/>
      <c r="G31" s="59"/>
      <c r="H31" s="59"/>
      <c r="I31" s="59"/>
      <c r="J31" s="59"/>
      <c r="K31" s="59"/>
    </row>
    <row r="32" spans="1:12">
      <c r="A32" s="59"/>
      <c r="B32" s="59"/>
      <c r="C32" s="59"/>
      <c r="D32" s="59"/>
      <c r="E32" s="59"/>
      <c r="F32" s="59"/>
      <c r="G32" s="59"/>
      <c r="H32" s="59"/>
      <c r="I32" s="59"/>
      <c r="J32" s="59"/>
      <c r="K32" s="59"/>
    </row>
    <row r="33" spans="1:11">
      <c r="A33" s="59"/>
      <c r="B33" s="59"/>
      <c r="C33" s="59"/>
      <c r="D33" s="59"/>
      <c r="E33" s="59"/>
      <c r="F33" s="59"/>
      <c r="G33" s="59"/>
      <c r="H33" s="59"/>
      <c r="I33" s="59"/>
      <c r="J33" s="59"/>
      <c r="K33" s="59"/>
    </row>
    <row r="34" spans="1:11">
      <c r="A34" s="59"/>
      <c r="B34" s="59"/>
      <c r="C34" s="59"/>
      <c r="D34" s="59"/>
      <c r="E34" s="59"/>
      <c r="F34" s="59"/>
      <c r="G34" s="59"/>
      <c r="H34" s="59"/>
      <c r="I34" s="59"/>
      <c r="J34" s="59"/>
      <c r="K34" s="59"/>
    </row>
    <row r="35" spans="1:11">
      <c r="A35" s="59"/>
      <c r="B35" s="59"/>
      <c r="C35" s="59"/>
      <c r="D35" s="59"/>
      <c r="E35" s="59"/>
      <c r="F35" s="59"/>
      <c r="G35" s="59"/>
      <c r="H35" s="59"/>
      <c r="I35" s="59"/>
      <c r="J35" s="59"/>
      <c r="K35" s="59"/>
    </row>
    <row r="36" spans="1:11">
      <c r="A36" s="59"/>
      <c r="B36" s="59"/>
      <c r="C36" s="59"/>
      <c r="D36" s="59"/>
      <c r="E36" s="59"/>
      <c r="F36" s="59"/>
      <c r="G36" s="59"/>
      <c r="H36" s="59"/>
      <c r="I36" s="59"/>
      <c r="J36" s="59"/>
      <c r="K36" s="59"/>
    </row>
    <row r="37" spans="1:11">
      <c r="A37" s="59"/>
      <c r="B37" s="59"/>
      <c r="C37" s="59"/>
      <c r="D37" s="59"/>
      <c r="E37" s="59"/>
      <c r="F37" s="59"/>
      <c r="G37" s="59"/>
      <c r="H37" s="59"/>
      <c r="I37" s="59"/>
      <c r="J37" s="59"/>
      <c r="K37" s="59"/>
    </row>
    <row r="38" spans="1:11">
      <c r="A38" s="59"/>
      <c r="B38" s="59"/>
      <c r="C38" s="59"/>
      <c r="D38" s="59"/>
      <c r="E38" s="59"/>
      <c r="F38" s="59"/>
      <c r="G38" s="59"/>
      <c r="H38" s="59"/>
      <c r="I38" s="59"/>
      <c r="J38" s="59"/>
      <c r="K38" s="59"/>
    </row>
    <row r="39" spans="1:11">
      <c r="A39" s="59"/>
      <c r="B39" s="59"/>
      <c r="C39" s="59"/>
      <c r="D39" s="59"/>
      <c r="E39" s="59"/>
      <c r="F39" s="59"/>
      <c r="G39" s="59"/>
      <c r="H39" s="59"/>
      <c r="I39" s="59"/>
      <c r="J39" s="59"/>
      <c r="K39" s="59"/>
    </row>
    <row r="40" spans="1:11">
      <c r="A40" s="59"/>
      <c r="B40" s="59"/>
      <c r="C40" s="59"/>
      <c r="D40" s="59"/>
      <c r="E40" s="59"/>
      <c r="F40" s="59"/>
      <c r="G40" s="59"/>
      <c r="H40" s="59"/>
      <c r="I40" s="59"/>
      <c r="J40" s="59"/>
      <c r="K40" s="59"/>
    </row>
    <row r="41" spans="1:11">
      <c r="A41" s="59"/>
      <c r="B41" s="59"/>
      <c r="C41" s="59"/>
      <c r="D41" s="59"/>
      <c r="E41" s="59"/>
      <c r="F41" s="59"/>
      <c r="G41" s="59"/>
      <c r="H41" s="59"/>
      <c r="I41" s="59"/>
      <c r="J41" s="59"/>
      <c r="K41" s="59"/>
    </row>
    <row r="42" spans="1:11">
      <c r="A42" s="59"/>
      <c r="B42" s="59"/>
      <c r="C42" s="59"/>
      <c r="D42" s="59"/>
      <c r="E42" s="59"/>
      <c r="F42" s="59"/>
      <c r="G42" s="59"/>
      <c r="H42" s="59"/>
      <c r="I42" s="59"/>
      <c r="J42" s="59"/>
      <c r="K42" s="59"/>
    </row>
    <row r="43" spans="1:11">
      <c r="A43" s="59"/>
      <c r="B43" s="59"/>
      <c r="C43" s="59"/>
      <c r="D43" s="59"/>
      <c r="E43" s="59"/>
      <c r="F43" s="59"/>
      <c r="G43" s="59"/>
      <c r="H43" s="59"/>
      <c r="I43" s="59"/>
      <c r="J43" s="59"/>
      <c r="K43" s="59"/>
    </row>
    <row r="44" spans="1:11">
      <c r="A44" s="59"/>
      <c r="B44" s="59"/>
      <c r="C44" s="59"/>
      <c r="D44" s="59"/>
      <c r="E44" s="59"/>
      <c r="F44" s="59"/>
      <c r="G44" s="59"/>
      <c r="H44" s="59"/>
      <c r="I44" s="59"/>
      <c r="J44" s="59"/>
      <c r="K44" s="59"/>
    </row>
    <row r="45" spans="1:11">
      <c r="A45" s="59"/>
      <c r="B45" s="59"/>
      <c r="C45" s="59"/>
      <c r="D45" s="59"/>
      <c r="E45" s="59"/>
      <c r="F45" s="59"/>
      <c r="G45" s="59"/>
      <c r="H45" s="59"/>
      <c r="I45" s="59"/>
      <c r="J45" s="59"/>
      <c r="K45" s="59"/>
    </row>
    <row r="46" spans="1:11">
      <c r="A46" s="59"/>
      <c r="B46" s="59"/>
      <c r="C46" s="59"/>
      <c r="D46" s="59"/>
      <c r="E46" s="59"/>
      <c r="F46" s="59"/>
      <c r="G46" s="59"/>
      <c r="H46" s="59"/>
      <c r="I46" s="59"/>
      <c r="J46" s="59"/>
      <c r="K46" s="59"/>
    </row>
    <row r="47" spans="1:11">
      <c r="A47" s="59"/>
      <c r="B47" s="59"/>
      <c r="C47" s="59"/>
      <c r="D47" s="59"/>
      <c r="E47" s="59"/>
      <c r="F47" s="59"/>
      <c r="G47" s="59"/>
      <c r="H47" s="59"/>
      <c r="I47" s="59"/>
      <c r="J47" s="59"/>
      <c r="K47" s="59"/>
    </row>
    <row r="48" spans="1:11">
      <c r="A48" s="59"/>
      <c r="B48" s="59"/>
      <c r="C48" s="59"/>
      <c r="D48" s="59"/>
      <c r="E48" s="59"/>
      <c r="F48" s="59"/>
      <c r="G48" s="59"/>
      <c r="H48" s="59"/>
      <c r="I48" s="59"/>
      <c r="J48" s="59"/>
      <c r="K48" s="59"/>
    </row>
    <row r="49" spans="1:11">
      <c r="A49" s="59"/>
      <c r="B49" s="59"/>
      <c r="C49" s="59"/>
      <c r="D49" s="59"/>
      <c r="E49" s="59"/>
      <c r="F49" s="59"/>
      <c r="G49" s="59"/>
      <c r="H49" s="59"/>
      <c r="I49" s="59"/>
      <c r="J49" s="59"/>
      <c r="K49" s="59"/>
    </row>
    <row r="50" spans="1:11">
      <c r="A50" s="59"/>
      <c r="B50" s="59"/>
      <c r="C50" s="59"/>
      <c r="D50" s="59"/>
      <c r="E50" s="59"/>
      <c r="F50" s="59"/>
      <c r="G50" s="59"/>
      <c r="H50" s="59"/>
      <c r="I50" s="59"/>
      <c r="J50" s="59"/>
      <c r="K50" s="59"/>
    </row>
    <row r="51" spans="1:11">
      <c r="A51" s="59"/>
      <c r="B51" s="59"/>
      <c r="C51" s="59"/>
      <c r="D51" s="59"/>
      <c r="E51" s="59"/>
      <c r="F51" s="59"/>
      <c r="G51" s="59"/>
      <c r="H51" s="59"/>
      <c r="I51" s="59"/>
      <c r="J51" s="59"/>
      <c r="K51" s="59"/>
    </row>
    <row r="52" spans="1:11">
      <c r="A52" s="59"/>
      <c r="B52" s="59"/>
      <c r="C52" s="59"/>
      <c r="D52" s="59"/>
      <c r="E52" s="59"/>
      <c r="F52" s="59"/>
      <c r="G52" s="59"/>
      <c r="H52" s="59"/>
      <c r="I52" s="59"/>
      <c r="J52" s="59"/>
      <c r="K52" s="59"/>
    </row>
    <row r="53" spans="1:11">
      <c r="A53" s="59"/>
      <c r="B53" s="59"/>
      <c r="C53" s="59"/>
      <c r="D53" s="59"/>
      <c r="E53" s="59"/>
      <c r="F53" s="59"/>
      <c r="G53" s="59"/>
      <c r="H53" s="59"/>
      <c r="I53" s="59"/>
      <c r="J53" s="59"/>
      <c r="K53" s="59"/>
    </row>
    <row r="54" spans="1:11">
      <c r="A54" s="59"/>
      <c r="B54" s="59"/>
      <c r="C54" s="59"/>
      <c r="D54" s="59"/>
      <c r="E54" s="59"/>
      <c r="F54" s="59"/>
      <c r="G54" s="59"/>
      <c r="H54" s="59"/>
      <c r="I54" s="59"/>
      <c r="J54" s="59"/>
      <c r="K54" s="59"/>
    </row>
    <row r="55" spans="1:11">
      <c r="A55" s="59"/>
      <c r="B55" s="59"/>
      <c r="C55" s="59"/>
      <c r="D55" s="59"/>
      <c r="E55" s="59"/>
      <c r="F55" s="59"/>
      <c r="G55" s="59"/>
      <c r="H55" s="59"/>
      <c r="I55" s="59"/>
      <c r="J55" s="59"/>
      <c r="K55" s="59"/>
    </row>
    <row r="56" spans="1:11">
      <c r="A56" s="59"/>
      <c r="B56" s="59"/>
      <c r="C56" s="59"/>
      <c r="D56" s="59"/>
      <c r="E56" s="59"/>
      <c r="F56" s="59"/>
      <c r="G56" s="59"/>
      <c r="H56" s="59"/>
      <c r="I56" s="59"/>
      <c r="J56" s="59"/>
      <c r="K56" s="59"/>
    </row>
    <row r="57" spans="1:11">
      <c r="A57" s="59"/>
      <c r="B57" s="59"/>
      <c r="C57" s="59"/>
      <c r="D57" s="59"/>
      <c r="E57" s="59"/>
      <c r="F57" s="59"/>
      <c r="G57" s="59"/>
      <c r="H57" s="59"/>
      <c r="I57" s="59"/>
      <c r="J57" s="59"/>
      <c r="K57" s="59"/>
    </row>
    <row r="58" spans="1:11">
      <c r="A58" s="59"/>
      <c r="B58" s="59"/>
      <c r="C58" s="59"/>
      <c r="D58" s="59"/>
      <c r="E58" s="59"/>
      <c r="F58" s="59"/>
      <c r="G58" s="59"/>
      <c r="H58" s="59"/>
      <c r="I58" s="59"/>
      <c r="J58" s="59"/>
      <c r="K58" s="59"/>
    </row>
    <row r="59" spans="1:11">
      <c r="A59" s="59"/>
      <c r="B59" s="59"/>
      <c r="C59" s="59"/>
      <c r="D59" s="59"/>
      <c r="E59" s="59"/>
      <c r="F59" s="59"/>
      <c r="G59" s="59"/>
      <c r="H59" s="59"/>
      <c r="I59" s="59"/>
      <c r="J59" s="59"/>
      <c r="K59" s="59"/>
    </row>
    <row r="60" spans="1:11">
      <c r="A60" s="59"/>
      <c r="B60" s="59"/>
      <c r="C60" s="59"/>
      <c r="D60" s="59"/>
      <c r="E60" s="59"/>
      <c r="F60" s="59"/>
      <c r="G60" s="59"/>
      <c r="H60" s="59"/>
      <c r="I60" s="59"/>
      <c r="J60" s="59"/>
      <c r="K60" s="5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0"/>
  <sheetViews>
    <sheetView showGridLines="0" workbookViewId="0">
      <pane ySplit="7" topLeftCell="A27" activePane="bottomLeft" state="frozen"/>
      <selection pane="bottomLeft" activeCell="A42" sqref="A42"/>
    </sheetView>
  </sheetViews>
  <sheetFormatPr defaultRowHeight="14.25"/>
  <cols>
    <col min="1" max="1" width="42" customWidth="1"/>
    <col min="2" max="2" width="27" customWidth="1"/>
    <col min="3" max="3" width="29" customWidth="1"/>
    <col min="4" max="4" width="34" customWidth="1"/>
    <col min="5" max="5" width="18" customWidth="1"/>
    <col min="6" max="6" width="27" customWidth="1"/>
    <col min="7" max="7" width="29" customWidth="1"/>
    <col min="8" max="8" width="12" customWidth="1"/>
    <col min="9" max="9" width="14" customWidth="1"/>
  </cols>
  <sheetData>
    <row r="1" spans="1:11">
      <c r="A1" s="59"/>
      <c r="B1" s="59"/>
      <c r="C1" s="59"/>
      <c r="D1" s="59"/>
      <c r="E1" s="59"/>
      <c r="F1" s="59"/>
      <c r="G1" s="59"/>
      <c r="H1" s="59"/>
      <c r="I1" s="59"/>
      <c r="J1" s="59"/>
      <c r="K1" s="59"/>
    </row>
    <row r="2" spans="1:11" ht="18">
      <c r="A2" s="60" t="s">
        <v>792</v>
      </c>
      <c r="B2" s="59"/>
      <c r="C2" s="59"/>
      <c r="D2" s="59"/>
      <c r="E2" s="59"/>
      <c r="F2" s="59"/>
      <c r="G2" s="59"/>
      <c r="H2" s="59"/>
      <c r="I2" s="59"/>
      <c r="J2" s="59"/>
      <c r="K2" s="59"/>
    </row>
    <row r="3" spans="1:11">
      <c r="A3" s="59"/>
      <c r="B3" s="59"/>
      <c r="C3" s="59"/>
      <c r="D3" s="59"/>
      <c r="E3" s="59"/>
      <c r="F3" s="59"/>
      <c r="G3" s="59"/>
      <c r="H3" s="59"/>
      <c r="I3" s="59"/>
      <c r="J3" s="59"/>
      <c r="K3" s="59"/>
    </row>
    <row r="4" spans="1:11">
      <c r="A4" s="59" t="s">
        <v>793</v>
      </c>
      <c r="B4" s="59"/>
      <c r="C4" s="59"/>
      <c r="D4" s="59"/>
      <c r="E4" s="59"/>
      <c r="F4" s="59"/>
      <c r="G4" s="59"/>
      <c r="H4" s="59"/>
      <c r="I4" s="59"/>
      <c r="J4" s="59"/>
      <c r="K4" s="59"/>
    </row>
    <row r="5" spans="1:11">
      <c r="A5" s="59" t="s">
        <v>794</v>
      </c>
      <c r="B5" s="59"/>
      <c r="C5" s="59"/>
      <c r="D5" s="59"/>
      <c r="E5" s="59"/>
      <c r="F5" s="59"/>
      <c r="G5" s="59"/>
      <c r="H5" s="59"/>
      <c r="I5" s="59"/>
      <c r="J5" s="59"/>
      <c r="K5" s="59"/>
    </row>
    <row r="6" spans="1:11">
      <c r="A6" s="59"/>
      <c r="B6" s="59"/>
      <c r="C6" s="59"/>
      <c r="D6" s="59"/>
      <c r="E6" s="59"/>
      <c r="F6" s="59"/>
      <c r="G6" s="59"/>
      <c r="H6" s="59"/>
      <c r="I6" s="59"/>
      <c r="J6" s="59"/>
      <c r="K6" s="59"/>
    </row>
    <row r="7" spans="1:11" ht="32.1" customHeight="1">
      <c r="A7" s="64" t="s">
        <v>795</v>
      </c>
      <c r="B7" s="64" t="s">
        <v>536</v>
      </c>
      <c r="C7" s="59"/>
      <c r="D7" s="59"/>
      <c r="E7" s="59"/>
      <c r="F7" s="59"/>
      <c r="G7" s="59"/>
      <c r="H7" s="59"/>
      <c r="I7" s="59"/>
      <c r="J7" s="59"/>
      <c r="K7" s="59"/>
    </row>
    <row r="8" spans="1:11" ht="30" customHeight="1">
      <c r="A8" s="66" t="s">
        <v>796</v>
      </c>
      <c r="B8" s="65">
        <f>'Regras e fonte'!C33</f>
        <v>37723</v>
      </c>
      <c r="C8" s="59"/>
      <c r="D8" s="59"/>
      <c r="E8" s="59"/>
      <c r="F8" s="59"/>
      <c r="G8" s="59"/>
      <c r="H8" s="59"/>
      <c r="I8" s="59"/>
      <c r="J8" s="59"/>
      <c r="K8" s="59"/>
    </row>
    <row r="9" spans="1:11" ht="30" customHeight="1">
      <c r="A9" s="66" t="s">
        <v>797</v>
      </c>
      <c r="B9" s="65">
        <f>B8-B12</f>
        <v>37722</v>
      </c>
      <c r="C9" s="59"/>
      <c r="D9" s="59"/>
      <c r="E9" s="59"/>
      <c r="F9" s="59"/>
      <c r="G9" s="59"/>
      <c r="H9" s="59"/>
      <c r="I9" s="59"/>
      <c r="J9" s="59"/>
      <c r="K9" s="59"/>
    </row>
    <row r="10" spans="1:11" ht="30" customHeight="1">
      <c r="A10" s="66" t="s">
        <v>798</v>
      </c>
      <c r="B10" s="65">
        <f>'Regras e fonte'!C34</f>
        <v>37722</v>
      </c>
      <c r="C10" s="59"/>
      <c r="D10" s="59"/>
      <c r="E10" s="59"/>
      <c r="F10" s="59"/>
      <c r="G10" s="59"/>
      <c r="H10" s="59"/>
      <c r="I10" s="59"/>
      <c r="J10" s="59"/>
      <c r="K10" s="59"/>
    </row>
    <row r="11" spans="1:11" ht="30" customHeight="1">
      <c r="A11" s="66" t="s">
        <v>799</v>
      </c>
      <c r="B11" s="65">
        <f>B9-B10</f>
        <v>0</v>
      </c>
      <c r="C11" s="59"/>
      <c r="D11" s="59"/>
      <c r="E11" s="59"/>
      <c r="F11" s="59"/>
      <c r="G11" s="59"/>
      <c r="H11" s="59"/>
      <c r="I11" s="59"/>
      <c r="J11" s="59"/>
      <c r="K11" s="59"/>
    </row>
    <row r="12" spans="1:11" ht="30" customHeight="1">
      <c r="A12" s="66" t="s">
        <v>800</v>
      </c>
      <c r="B12" s="65">
        <f>'Regras e fonte'!C35</f>
        <v>1</v>
      </c>
      <c r="C12" s="59"/>
      <c r="D12" s="59"/>
      <c r="E12" s="59"/>
      <c r="F12" s="59"/>
      <c r="G12" s="59"/>
      <c r="H12" s="59"/>
      <c r="I12" s="59"/>
      <c r="J12" s="59"/>
      <c r="K12" s="59"/>
    </row>
    <row r="13" spans="1:11">
      <c r="A13" s="59"/>
      <c r="B13" s="59"/>
      <c r="C13" s="59"/>
      <c r="D13" s="59"/>
      <c r="E13" s="59"/>
      <c r="F13" s="59"/>
      <c r="G13" s="59"/>
      <c r="H13" s="59"/>
      <c r="I13" s="59"/>
      <c r="J13" s="59"/>
      <c r="K13" s="59"/>
    </row>
    <row r="14" spans="1:11">
      <c r="A14" s="59"/>
      <c r="B14" s="59"/>
      <c r="C14" s="59"/>
      <c r="D14" s="59"/>
      <c r="E14" s="59"/>
      <c r="F14" s="59"/>
      <c r="G14" s="59"/>
      <c r="H14" s="59"/>
      <c r="I14" s="59"/>
      <c r="J14" s="59"/>
      <c r="K14" s="59"/>
    </row>
    <row r="15" spans="1:11" ht="32.1" customHeight="1">
      <c r="A15" s="64" t="s">
        <v>801</v>
      </c>
      <c r="B15" s="64" t="s">
        <v>802</v>
      </c>
      <c r="C15" s="64" t="s">
        <v>803</v>
      </c>
      <c r="D15" s="64" t="s">
        <v>804</v>
      </c>
      <c r="E15" s="64" t="s">
        <v>805</v>
      </c>
      <c r="F15" s="64" t="s">
        <v>806</v>
      </c>
      <c r="G15" s="64" t="s">
        <v>807</v>
      </c>
      <c r="H15" s="64" t="s">
        <v>808</v>
      </c>
      <c r="I15" s="64" t="s">
        <v>809</v>
      </c>
      <c r="J15" s="59"/>
      <c r="K15" s="59"/>
    </row>
    <row r="16" spans="1:11" ht="30" customHeight="1">
      <c r="A16" s="69" t="s">
        <v>810</v>
      </c>
      <c r="B16" s="69" t="s">
        <v>811</v>
      </c>
      <c r="C16" s="66" t="s">
        <v>812</v>
      </c>
      <c r="D16" s="66" t="s">
        <v>425</v>
      </c>
      <c r="E16" s="66" t="s">
        <v>813</v>
      </c>
      <c r="F16" s="70">
        <v>46245.354905208333</v>
      </c>
      <c r="G16" s="70">
        <v>46245.396571863428</v>
      </c>
      <c r="H16" s="66" t="s">
        <v>814</v>
      </c>
      <c r="I16" s="71">
        <v>307599</v>
      </c>
      <c r="J16" s="59"/>
      <c r="K16" s="59"/>
    </row>
    <row r="17" spans="1:11" ht="30" customHeight="1">
      <c r="A17" s="67"/>
      <c r="B17" s="67"/>
      <c r="C17" s="59"/>
      <c r="D17" s="59"/>
      <c r="E17" s="59"/>
      <c r="F17" s="68"/>
      <c r="G17" s="68"/>
      <c r="H17" s="59"/>
      <c r="I17" s="65"/>
      <c r="J17" s="59"/>
      <c r="K17" s="59"/>
    </row>
    <row r="18" spans="1:11" ht="30" customHeight="1">
      <c r="A18" s="67"/>
      <c r="B18" s="67"/>
      <c r="C18" s="59"/>
      <c r="D18" s="59"/>
      <c r="E18" s="59"/>
      <c r="F18" s="68"/>
      <c r="G18" s="68"/>
      <c r="H18" s="59"/>
      <c r="I18" s="65"/>
      <c r="J18" s="59"/>
      <c r="K18" s="59"/>
    </row>
    <row r="19" spans="1:11" ht="30" customHeight="1">
      <c r="A19" s="67"/>
      <c r="B19" s="67"/>
      <c r="C19" s="59"/>
      <c r="D19" s="59"/>
      <c r="E19" s="59"/>
      <c r="F19" s="68"/>
      <c r="G19" s="68"/>
      <c r="H19" s="59"/>
      <c r="I19" s="65"/>
      <c r="J19" s="59"/>
      <c r="K19" s="59"/>
    </row>
    <row r="20" spans="1:11" ht="30" customHeight="1">
      <c r="A20" s="67" t="s">
        <v>815</v>
      </c>
      <c r="B20" s="67"/>
      <c r="C20" s="59"/>
      <c r="D20" s="59"/>
      <c r="E20" s="59"/>
      <c r="F20" s="68"/>
      <c r="G20" s="68"/>
      <c r="H20" s="59"/>
      <c r="I20" s="65"/>
      <c r="J20" s="59"/>
      <c r="K20" s="59"/>
    </row>
    <row r="21" spans="1:11">
      <c r="A21" s="59"/>
      <c r="B21" s="59"/>
      <c r="C21" s="59"/>
      <c r="D21" s="59"/>
      <c r="E21" s="59"/>
      <c r="F21" s="59"/>
      <c r="G21" s="59"/>
      <c r="H21" s="59"/>
      <c r="I21" s="59"/>
      <c r="J21" s="59"/>
      <c r="K21" s="59"/>
    </row>
    <row r="22" spans="1:11" ht="32.1" customHeight="1">
      <c r="A22" s="64" t="s">
        <v>802</v>
      </c>
      <c r="B22" s="64" t="s">
        <v>806</v>
      </c>
      <c r="C22" s="64" t="s">
        <v>803</v>
      </c>
      <c r="D22" s="64" t="s">
        <v>804</v>
      </c>
      <c r="E22" s="64" t="s">
        <v>805</v>
      </c>
      <c r="F22" s="64" t="s">
        <v>801</v>
      </c>
      <c r="G22" s="59"/>
      <c r="H22" s="59"/>
      <c r="I22" s="59"/>
      <c r="J22" s="59"/>
      <c r="K22" s="59"/>
    </row>
    <row r="23" spans="1:11" ht="30" customHeight="1">
      <c r="A23" s="66" t="s">
        <v>811</v>
      </c>
      <c r="B23" s="70">
        <v>46245.354905208333</v>
      </c>
      <c r="C23" s="66" t="s">
        <v>812</v>
      </c>
      <c r="D23" s="66" t="s">
        <v>425</v>
      </c>
      <c r="E23" s="66" t="s">
        <v>813</v>
      </c>
      <c r="F23" s="66" t="s">
        <v>810</v>
      </c>
      <c r="G23" s="59"/>
      <c r="H23" s="59"/>
      <c r="I23" s="59"/>
      <c r="J23" s="59"/>
      <c r="K23" s="59"/>
    </row>
    <row r="24" spans="1:11" ht="30" customHeight="1">
      <c r="A24" s="66" t="s">
        <v>816</v>
      </c>
      <c r="B24" s="70">
        <v>46245.356073495372</v>
      </c>
      <c r="C24" s="66" t="s">
        <v>425</v>
      </c>
      <c r="D24" s="66" t="s">
        <v>812</v>
      </c>
      <c r="E24" s="66" t="s">
        <v>817</v>
      </c>
      <c r="F24" s="66" t="s">
        <v>810</v>
      </c>
      <c r="G24" s="59"/>
      <c r="H24" s="59"/>
      <c r="I24" s="59"/>
      <c r="J24" s="59"/>
      <c r="K24" s="59"/>
    </row>
    <row r="25" spans="1:11" ht="30" customHeight="1">
      <c r="A25" s="66" t="s">
        <v>818</v>
      </c>
      <c r="B25" s="70">
        <v>46245.356192013889</v>
      </c>
      <c r="C25" s="66" t="s">
        <v>425</v>
      </c>
      <c r="D25" s="66" t="s">
        <v>812</v>
      </c>
      <c r="E25" s="66" t="s">
        <v>817</v>
      </c>
      <c r="F25" s="66" t="s">
        <v>810</v>
      </c>
      <c r="G25" s="59"/>
      <c r="H25" s="59"/>
      <c r="I25" s="59"/>
      <c r="J25" s="59"/>
      <c r="K25" s="59"/>
    </row>
    <row r="26" spans="1:11" ht="30" customHeight="1">
      <c r="A26" s="66" t="s">
        <v>819</v>
      </c>
      <c r="B26" s="70">
        <v>46245.356414965281</v>
      </c>
      <c r="C26" s="66" t="s">
        <v>425</v>
      </c>
      <c r="D26" s="66" t="s">
        <v>812</v>
      </c>
      <c r="E26" s="66" t="s">
        <v>820</v>
      </c>
      <c r="F26" s="66" t="s">
        <v>810</v>
      </c>
      <c r="G26" s="59"/>
      <c r="H26" s="59"/>
      <c r="I26" s="59"/>
      <c r="J26" s="59"/>
      <c r="K26" s="59"/>
    </row>
    <row r="27" spans="1:11">
      <c r="A27" s="59"/>
      <c r="B27" s="59"/>
      <c r="C27" s="59"/>
      <c r="D27" s="59"/>
      <c r="E27" s="59"/>
      <c r="F27" s="59"/>
      <c r="G27" s="59"/>
      <c r="H27" s="59"/>
      <c r="I27" s="59"/>
      <c r="J27" s="59"/>
      <c r="K27" s="59"/>
    </row>
    <row r="28" spans="1:11">
      <c r="A28" s="59"/>
      <c r="B28" s="59"/>
      <c r="C28" s="59"/>
      <c r="D28" s="59"/>
      <c r="E28" s="59"/>
      <c r="F28" s="59"/>
      <c r="G28" s="59"/>
      <c r="H28" s="59"/>
      <c r="I28" s="59"/>
      <c r="J28" s="59"/>
      <c r="K28" s="59"/>
    </row>
    <row r="29" spans="1:11">
      <c r="A29" s="59" t="s">
        <v>821</v>
      </c>
      <c r="B29" s="59"/>
      <c r="C29" s="59"/>
      <c r="D29" s="59"/>
      <c r="E29" s="59"/>
      <c r="F29" s="59"/>
      <c r="G29" s="59"/>
      <c r="H29" s="59"/>
      <c r="I29" s="59"/>
      <c r="J29" s="59"/>
      <c r="K29" s="59"/>
    </row>
    <row r="30" spans="1:11">
      <c r="A30" s="59" t="s">
        <v>822</v>
      </c>
      <c r="B30" s="59"/>
      <c r="C30" s="59"/>
      <c r="D30" s="59"/>
      <c r="E30" s="59"/>
      <c r="F30" s="59"/>
      <c r="G30" s="59"/>
      <c r="H30" s="59"/>
      <c r="I30" s="59"/>
      <c r="J30" s="59"/>
      <c r="K30" s="59"/>
    </row>
    <row r="31" spans="1:11">
      <c r="A31" s="59" t="s">
        <v>823</v>
      </c>
      <c r="B31" s="59"/>
      <c r="C31" s="59"/>
      <c r="D31" s="59"/>
      <c r="E31" s="59"/>
      <c r="F31" s="59"/>
      <c r="G31" s="59"/>
      <c r="H31" s="59"/>
      <c r="I31" s="59"/>
      <c r="J31" s="59"/>
      <c r="K31" s="59"/>
    </row>
    <row r="32" spans="1:11">
      <c r="A32" s="59"/>
      <c r="B32" s="59"/>
      <c r="C32" s="59"/>
      <c r="D32" s="59"/>
      <c r="E32" s="59"/>
      <c r="F32" s="59"/>
      <c r="G32" s="59"/>
      <c r="H32" s="59"/>
      <c r="I32" s="59"/>
      <c r="J32" s="59"/>
      <c r="K32" s="59"/>
    </row>
    <row r="33" spans="1:11">
      <c r="A33" s="59"/>
      <c r="B33" s="59"/>
      <c r="C33" s="59"/>
      <c r="D33" s="59"/>
      <c r="E33" s="59"/>
      <c r="F33" s="59"/>
      <c r="G33" s="59"/>
      <c r="H33" s="59"/>
      <c r="I33" s="59"/>
      <c r="J33" s="59"/>
      <c r="K33" s="59"/>
    </row>
    <row r="34" spans="1:11" ht="15.75">
      <c r="A34" s="72" t="s">
        <v>824</v>
      </c>
      <c r="B34" s="59"/>
      <c r="C34" s="59"/>
      <c r="D34" s="59"/>
      <c r="E34" s="59"/>
      <c r="F34" s="59"/>
      <c r="G34" s="59"/>
      <c r="H34" s="59"/>
      <c r="I34" s="59"/>
      <c r="J34" s="59"/>
      <c r="K34" s="59"/>
    </row>
    <row r="35" spans="1:11" ht="32.1" customHeight="1">
      <c r="A35" s="73" t="s">
        <v>825</v>
      </c>
      <c r="B35" s="73" t="s">
        <v>826</v>
      </c>
      <c r="C35" s="73" t="s">
        <v>388</v>
      </c>
      <c r="D35" s="73" t="s">
        <v>827</v>
      </c>
      <c r="E35" s="73" t="s">
        <v>828</v>
      </c>
      <c r="F35" s="73" t="s">
        <v>829</v>
      </c>
      <c r="G35" s="73" t="s">
        <v>391</v>
      </c>
      <c r="H35" s="59"/>
      <c r="I35" s="59"/>
      <c r="J35" s="59"/>
      <c r="K35" s="59"/>
    </row>
    <row r="36" spans="1:11" ht="36" customHeight="1">
      <c r="A36" s="66" t="s">
        <v>830</v>
      </c>
      <c r="B36" s="65">
        <v>36005</v>
      </c>
      <c r="C36" s="65">
        <v>35913</v>
      </c>
      <c r="D36" s="65">
        <f>B36-C36</f>
        <v>92</v>
      </c>
      <c r="E36" s="65">
        <v>65</v>
      </c>
      <c r="F36" s="65">
        <f>D36-E36</f>
        <v>27</v>
      </c>
      <c r="G36" s="65">
        <f>B36-E36</f>
        <v>35940</v>
      </c>
      <c r="H36" s="59"/>
      <c r="I36" s="59"/>
      <c r="J36" s="59"/>
      <c r="K36" s="59"/>
    </row>
    <row r="37" spans="1:11" ht="36" customHeight="1">
      <c r="A37" s="66" t="s">
        <v>831</v>
      </c>
      <c r="B37" s="65">
        <v>37402</v>
      </c>
      <c r="C37" s="65">
        <v>35913</v>
      </c>
      <c r="D37" s="65">
        <f>B37-C37</f>
        <v>1489</v>
      </c>
      <c r="E37" s="65">
        <v>374</v>
      </c>
      <c r="F37" s="65">
        <f>D37-E37</f>
        <v>1115</v>
      </c>
      <c r="G37" s="65">
        <f>B37-E37</f>
        <v>37028</v>
      </c>
      <c r="H37" s="59"/>
      <c r="I37" s="59"/>
      <c r="J37" s="59"/>
      <c r="K37" s="59"/>
    </row>
    <row r="38" spans="1:11" ht="36" customHeight="1">
      <c r="A38" s="66" t="s">
        <v>832</v>
      </c>
      <c r="B38" s="65">
        <v>37740</v>
      </c>
      <c r="C38" s="65">
        <v>36148</v>
      </c>
      <c r="D38" s="65">
        <f>B38-C38</f>
        <v>1592</v>
      </c>
      <c r="E38" s="65">
        <v>384</v>
      </c>
      <c r="F38" s="65">
        <f>D38-E38</f>
        <v>1208</v>
      </c>
      <c r="G38" s="65">
        <f>B38-E38</f>
        <v>37356</v>
      </c>
      <c r="H38" s="59"/>
      <c r="I38" s="59"/>
      <c r="J38" s="59"/>
      <c r="K38" s="59"/>
    </row>
    <row r="39" spans="1:11">
      <c r="A39" s="59"/>
      <c r="B39" s="59"/>
      <c r="C39" s="59"/>
      <c r="D39" s="59"/>
      <c r="E39" s="59"/>
      <c r="F39" s="59"/>
      <c r="G39" s="59"/>
      <c r="H39" s="59"/>
      <c r="I39" s="59"/>
      <c r="J39" s="59"/>
      <c r="K39" s="59"/>
    </row>
    <row r="40" spans="1:11">
      <c r="A40" s="59" t="s">
        <v>833</v>
      </c>
      <c r="B40" s="59"/>
      <c r="C40" s="59"/>
      <c r="D40" s="59"/>
      <c r="E40" s="59"/>
      <c r="F40" s="59"/>
      <c r="G40" s="59"/>
      <c r="H40" s="59"/>
      <c r="I40" s="59"/>
      <c r="J40" s="59"/>
      <c r="K40" s="59"/>
    </row>
    <row r="41" spans="1:11">
      <c r="A41" s="59" t="s">
        <v>834</v>
      </c>
      <c r="B41" s="59"/>
      <c r="C41" s="59"/>
      <c r="D41" s="59"/>
      <c r="E41" s="59"/>
      <c r="F41" s="59"/>
      <c r="G41" s="59"/>
      <c r="H41" s="59"/>
      <c r="I41" s="59"/>
      <c r="J41" s="59"/>
      <c r="K41" s="59"/>
    </row>
    <row r="42" spans="1:11">
      <c r="A42" s="59" t="s">
        <v>835</v>
      </c>
      <c r="B42" s="59"/>
      <c r="C42" s="59"/>
      <c r="D42" s="59"/>
      <c r="E42" s="59"/>
      <c r="F42" s="59"/>
      <c r="G42" s="59"/>
      <c r="H42" s="59"/>
      <c r="I42" s="59"/>
      <c r="J42" s="59"/>
      <c r="K42" s="59"/>
    </row>
    <row r="43" spans="1:11">
      <c r="A43" s="59" t="s">
        <v>836</v>
      </c>
      <c r="B43" s="59"/>
      <c r="C43" s="59"/>
      <c r="D43" s="59"/>
      <c r="E43" s="59"/>
      <c r="F43" s="59"/>
      <c r="G43" s="59"/>
      <c r="H43" s="59"/>
      <c r="I43" s="59"/>
      <c r="J43" s="59"/>
      <c r="K43" s="59"/>
    </row>
    <row r="44" spans="1:11">
      <c r="A44" s="59"/>
      <c r="B44" s="59"/>
      <c r="C44" s="59"/>
      <c r="D44" s="59"/>
      <c r="E44" s="59"/>
      <c r="F44" s="59"/>
      <c r="G44" s="59"/>
      <c r="H44" s="59"/>
      <c r="I44" s="59"/>
      <c r="J44" s="59"/>
      <c r="K44" s="59"/>
    </row>
    <row r="45" spans="1:11">
      <c r="A45" s="59"/>
      <c r="B45" s="59"/>
      <c r="C45" s="59"/>
      <c r="D45" s="59"/>
      <c r="E45" s="59"/>
      <c r="F45" s="59"/>
      <c r="G45" s="59"/>
      <c r="H45" s="59"/>
      <c r="I45" s="59"/>
      <c r="J45" s="59"/>
      <c r="K45" s="59"/>
    </row>
    <row r="46" spans="1:11">
      <c r="A46" s="59"/>
      <c r="B46" s="59"/>
      <c r="C46" s="59"/>
      <c r="D46" s="59"/>
      <c r="E46" s="59"/>
      <c r="F46" s="59"/>
      <c r="G46" s="59"/>
      <c r="H46" s="59"/>
      <c r="I46" s="59"/>
      <c r="J46" s="59"/>
      <c r="K46" s="59"/>
    </row>
    <row r="47" spans="1:11">
      <c r="A47" s="59"/>
      <c r="B47" s="59"/>
      <c r="C47" s="59"/>
      <c r="D47" s="59"/>
      <c r="E47" s="59"/>
      <c r="F47" s="59"/>
      <c r="G47" s="59"/>
      <c r="H47" s="59"/>
      <c r="I47" s="59"/>
      <c r="J47" s="59"/>
      <c r="K47" s="59"/>
    </row>
    <row r="48" spans="1:11">
      <c r="A48" s="59"/>
      <c r="B48" s="59"/>
      <c r="C48" s="59"/>
      <c r="D48" s="59"/>
      <c r="E48" s="59"/>
      <c r="F48" s="59"/>
      <c r="G48" s="59"/>
      <c r="H48" s="59"/>
      <c r="I48" s="59"/>
      <c r="J48" s="59"/>
      <c r="K48" s="59"/>
    </row>
    <row r="49" spans="1:11">
      <c r="A49" s="59"/>
      <c r="B49" s="59"/>
      <c r="C49" s="59"/>
      <c r="D49" s="59"/>
      <c r="E49" s="59"/>
      <c r="F49" s="59"/>
      <c r="G49" s="59"/>
      <c r="H49" s="59"/>
      <c r="I49" s="59"/>
      <c r="J49" s="59"/>
      <c r="K49" s="59"/>
    </row>
    <row r="50" spans="1:11">
      <c r="A50" s="59"/>
      <c r="B50" s="59"/>
      <c r="C50" s="59"/>
      <c r="D50" s="59"/>
      <c r="E50" s="59"/>
      <c r="F50" s="59"/>
      <c r="G50" s="59"/>
      <c r="H50" s="59"/>
      <c r="I50" s="59"/>
      <c r="J50" s="59"/>
      <c r="K50" s="59"/>
    </row>
    <row r="51" spans="1:11">
      <c r="A51" s="59"/>
      <c r="B51" s="59"/>
      <c r="C51" s="59"/>
      <c r="D51" s="59"/>
      <c r="E51" s="59"/>
      <c r="F51" s="59"/>
      <c r="G51" s="59"/>
      <c r="H51" s="59"/>
      <c r="I51" s="59"/>
      <c r="J51" s="59"/>
      <c r="K51" s="59"/>
    </row>
    <row r="52" spans="1:11">
      <c r="A52" s="59"/>
      <c r="B52" s="59"/>
      <c r="C52" s="59"/>
      <c r="D52" s="59"/>
      <c r="E52" s="59"/>
      <c r="F52" s="59"/>
      <c r="G52" s="59"/>
      <c r="H52" s="59"/>
      <c r="I52" s="59"/>
      <c r="J52" s="59"/>
      <c r="K52" s="59"/>
    </row>
    <row r="53" spans="1:11">
      <c r="A53" s="59"/>
      <c r="B53" s="59"/>
      <c r="C53" s="59"/>
      <c r="D53" s="59"/>
      <c r="E53" s="59"/>
      <c r="F53" s="59"/>
      <c r="G53" s="59"/>
      <c r="H53" s="59"/>
      <c r="I53" s="59"/>
      <c r="J53" s="59"/>
      <c r="K53" s="59"/>
    </row>
    <row r="54" spans="1:11">
      <c r="A54" s="59"/>
      <c r="B54" s="59"/>
      <c r="C54" s="59"/>
      <c r="D54" s="59"/>
      <c r="E54" s="59"/>
      <c r="F54" s="59"/>
      <c r="G54" s="59"/>
      <c r="H54" s="59"/>
      <c r="I54" s="59"/>
      <c r="J54" s="59"/>
      <c r="K54" s="59"/>
    </row>
    <row r="55" spans="1:11">
      <c r="A55" s="59"/>
      <c r="B55" s="59"/>
      <c r="C55" s="59"/>
      <c r="D55" s="59"/>
      <c r="E55" s="59"/>
      <c r="F55" s="59"/>
      <c r="G55" s="59"/>
      <c r="H55" s="59"/>
      <c r="I55" s="59"/>
      <c r="J55" s="59"/>
      <c r="K55" s="59"/>
    </row>
    <row r="56" spans="1:11">
      <c r="A56" s="59"/>
      <c r="B56" s="59"/>
      <c r="C56" s="59"/>
      <c r="D56" s="59"/>
      <c r="E56" s="59"/>
      <c r="F56" s="59"/>
      <c r="G56" s="59"/>
      <c r="H56" s="59"/>
      <c r="I56" s="59"/>
      <c r="J56" s="59"/>
      <c r="K56" s="59"/>
    </row>
    <row r="57" spans="1:11">
      <c r="A57" s="59"/>
      <c r="B57" s="59"/>
      <c r="C57" s="59"/>
      <c r="D57" s="59"/>
      <c r="E57" s="59"/>
      <c r="F57" s="59"/>
      <c r="G57" s="59"/>
      <c r="H57" s="59"/>
      <c r="I57" s="59"/>
      <c r="J57" s="59"/>
      <c r="K57" s="59"/>
    </row>
    <row r="58" spans="1:11">
      <c r="A58" s="59"/>
      <c r="B58" s="59"/>
      <c r="C58" s="59"/>
      <c r="D58" s="59"/>
      <c r="E58" s="59"/>
      <c r="F58" s="59"/>
      <c r="G58" s="59"/>
      <c r="H58" s="59"/>
      <c r="I58" s="59"/>
      <c r="J58" s="59"/>
      <c r="K58" s="59"/>
    </row>
    <row r="59" spans="1:11">
      <c r="A59" s="59"/>
      <c r="B59" s="59"/>
      <c r="C59" s="59"/>
      <c r="D59" s="59"/>
      <c r="E59" s="59"/>
      <c r="F59" s="59"/>
      <c r="G59" s="59"/>
      <c r="H59" s="59"/>
      <c r="I59" s="59"/>
      <c r="J59" s="59"/>
      <c r="K59" s="59"/>
    </row>
    <row r="60" spans="1:11">
      <c r="A60" s="59"/>
      <c r="B60" s="59"/>
      <c r="C60" s="59"/>
      <c r="D60" s="59"/>
      <c r="E60" s="59"/>
      <c r="F60" s="59"/>
      <c r="G60" s="59"/>
      <c r="H60" s="59"/>
      <c r="I60" s="59"/>
      <c r="J60" s="59"/>
      <c r="K60" s="5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Perguntas</vt:lpstr>
      <vt:lpstr>Cálculos</vt:lpstr>
      <vt:lpstr>Regras e fonte</vt:lpstr>
      <vt:lpstr>Stress</vt:lpstr>
      <vt:lpstr>Auditoria fila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Tavares</cp:lastModifiedBy>
  <dcterms:modified xsi:type="dcterms:W3CDTF">2026-10-20T16:28:57Z</dcterms:modified>
</cp:coreProperties>
</file>